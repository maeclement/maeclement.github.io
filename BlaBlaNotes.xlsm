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poitiers86-my.sharepoint.com/personal/mae_clement_etu_univ-poitiers_fr/Documents/SEA/SAE-Excel/"/>
    </mc:Choice>
  </mc:AlternateContent>
  <xr:revisionPtr revIDLastSave="187" documentId="13_ncr:1_{3106DC40-7D45-41B2-80E5-6964DD40B178}" xr6:coauthVersionLast="47" xr6:coauthVersionMax="47" xr10:uidLastSave="{99DF2A18-A7D9-443C-8202-CFD874402161}"/>
  <bookViews>
    <workbookView xWindow="-110" yWindow="-110" windowWidth="19420" windowHeight="10300" tabRatio="901" xr2:uid="{6AA46C1D-3959-45A6-8A1F-C28DA7F9B141}"/>
  </bookViews>
  <sheets>
    <sheet name="Menu" sheetId="38" r:id="rId1"/>
    <sheet name="Tableau de bord" sheetId="34" r:id="rId2"/>
    <sheet name="Mon année" sheetId="36" r:id="rId3"/>
    <sheet name="Notes" sheetId="33" r:id="rId4"/>
    <sheet name="Consignes" sheetId="37" r:id="rId5"/>
  </sheets>
  <functionGroups builtInGroupCount="19"/>
  <definedNames>
    <definedName name="_xleta.COUNTA" hidden="1" xlm="1">#NAME?</definedName>
    <definedName name="_xleta.MAX" hidden="1" xlm="1">#NAME?</definedName>
    <definedName name="_xleta.N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2" i="33" l="1" a="1"/>
  <c r="L12" i="33" s="1"/>
  <c r="L27" i="33" a="1"/>
  <c r="L27" i="33" s="1"/>
  <c r="L46" i="33" a="1"/>
  <c r="L46" i="33"/>
  <c r="L17" i="33" a="1"/>
  <c r="L17" i="33" s="1"/>
  <c r="L6" i="33" a="1"/>
  <c r="L6" i="33" s="1"/>
  <c r="G26" i="33"/>
  <c r="H26" i="33"/>
  <c r="I26" i="33"/>
  <c r="J26" i="33"/>
  <c r="F26" i="33"/>
  <c r="F5" i="33"/>
  <c r="G5" i="33"/>
  <c r="H5" i="33"/>
  <c r="I5" i="33"/>
  <c r="J5" i="33"/>
  <c r="K6" i="33"/>
  <c r="K7" i="33"/>
  <c r="K8" i="33"/>
  <c r="K9" i="33"/>
  <c r="K10" i="33"/>
  <c r="K11" i="33"/>
  <c r="K12" i="33"/>
  <c r="K13" i="33"/>
  <c r="K14" i="33"/>
  <c r="K15" i="33"/>
  <c r="K16" i="33"/>
  <c r="K18" i="33"/>
  <c r="K19" i="33"/>
  <c r="K20" i="33"/>
  <c r="K21" i="33"/>
  <c r="K22" i="33"/>
  <c r="K23" i="33"/>
  <c r="D7" i="36" l="1" a="1"/>
  <c r="D7" i="36" s="1"/>
  <c r="D25" i="36" l="1"/>
  <c r="P26" i="33"/>
  <c r="P5" i="33"/>
  <c r="K28" i="33" l="1"/>
  <c r="K29" i="33"/>
  <c r="K30" i="33"/>
  <c r="K31" i="33"/>
  <c r="K32" i="33"/>
  <c r="K33" i="33"/>
  <c r="K34" i="33"/>
  <c r="K35" i="33"/>
  <c r="K36" i="33"/>
  <c r="K37" i="33"/>
  <c r="L36" i="33" s="1" a="1"/>
  <c r="L36" i="33" s="1"/>
  <c r="K38" i="33"/>
  <c r="K39" i="33"/>
  <c r="K40" i="33"/>
  <c r="K41" i="33"/>
  <c r="K42" i="33"/>
  <c r="K43" i="33"/>
  <c r="K44" i="33"/>
  <c r="K45" i="33"/>
  <c r="K46" i="33"/>
  <c r="K47" i="33"/>
  <c r="K48" i="33"/>
  <c r="K49" i="33"/>
  <c r="K50" i="33"/>
  <c r="K51" i="33"/>
  <c r="K52" i="33"/>
  <c r="K53" i="33"/>
  <c r="D14" i="36"/>
  <c r="E9" i="36" l="1" a="1"/>
  <c r="E9" i="36" s="1"/>
  <c r="E15" i="36" a="1"/>
  <c r="E15" i="36" s="1"/>
  <c r="D15" i="36" a="1"/>
  <c r="D15" i="36" s="1"/>
  <c r="D9" i="36" a="1"/>
  <c r="D9" i="36" s="1"/>
  <c r="E14" i="36" a="1"/>
  <c r="E14" i="36" s="1"/>
  <c r="E8" i="36" a="1"/>
  <c r="E8" i="36" s="1"/>
  <c r="D13" i="36" a="1"/>
  <c r="D13" i="36" s="1"/>
  <c r="E13" i="36" a="1"/>
  <c r="E13" i="36" s="1"/>
  <c r="D8" i="36" a="1"/>
  <c r="D8" i="36" s="1"/>
  <c r="K27" i="33"/>
  <c r="E25" i="36" s="1"/>
  <c r="E7" i="36" l="1" a="1"/>
  <c r="E7" i="36" s="1"/>
  <c r="E19" i="36"/>
  <c r="D19" i="36"/>
  <c r="E20" i="36"/>
  <c r="D21" i="36"/>
  <c r="D20" i="36"/>
  <c r="E21" i="36"/>
  <c r="H13" i="36" l="1"/>
  <c r="H15" i="36"/>
  <c r="H14" i="36"/>
  <c r="H8" i="36" l="1"/>
  <c r="N8" i="34"/>
  <c r="H7" i="36"/>
  <c r="H18" i="36"/>
  <c r="H9" i="3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<sst xmlns="http://schemas.openxmlformats.org/spreadsheetml/2006/main" count="147" uniqueCount="62">
  <si>
    <t>Semestre 1</t>
  </si>
  <si>
    <t>Semestre 2</t>
  </si>
  <si>
    <t>Compétence 1 :
Traiter des données à des fins décisionnelles</t>
  </si>
  <si>
    <t>Bases de la programmation 1</t>
  </si>
  <si>
    <t>Tableur et Reporting</t>
  </si>
  <si>
    <t>Bases de données relationnelles 1</t>
  </si>
  <si>
    <t>Compétence 2 :
Analyser statistiquement les données</t>
  </si>
  <si>
    <t>Statistique descriptive 1</t>
  </si>
  <si>
    <t>Probabilités 1</t>
  </si>
  <si>
    <t>Mathématiques - analyse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</si>
  <si>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</si>
  <si>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</si>
  <si>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</si>
  <si>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</si>
  <si>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 xml:space="preserve">SAÉ - Reporting à partir de données stockées dans un SGBD relationnel </t>
  </si>
  <si>
    <t>SAÉ - Écriture et lecture de fichiers de données</t>
  </si>
  <si>
    <t>SAÉ - Préparation et synthèse d'un tableau de données en vue d'une analyse exploratoire simple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</si>
  <si>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</si>
  <si>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</si>
  <si>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</si>
  <si>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Bases de données relationnelles 2</t>
  </si>
  <si>
    <t>Bases de la programmation 2</t>
  </si>
  <si>
    <t>Programmation statistique</t>
  </si>
  <si>
    <t>Reporting et datavisualisation</t>
  </si>
  <si>
    <t>Statistique descriptive 2</t>
  </si>
  <si>
    <t>Statistique inférentielle</t>
  </si>
  <si>
    <t>Probabilités 2</t>
  </si>
  <si>
    <t>Bases de l'algèbre</t>
  </si>
  <si>
    <t>Approfondissement de l'anglais de spécialité</t>
  </si>
  <si>
    <t>Communication et sémiologie</t>
  </si>
  <si>
    <t>Étude des données de l'environnement entrepreneurial et économique</t>
  </si>
  <si>
    <t>SAÉ - Conception et implémentation d'une base de données</t>
  </si>
  <si>
    <t>SAÉ - Estimation par échantillonnage</t>
  </si>
  <si>
    <t>SAÉ - Régression sur des données réelles</t>
  </si>
  <si>
    <t>SAÉ - Datavisualisation</t>
  </si>
  <si>
    <t>SAÉ - Construction et présentation d'indicateurs de performance</t>
  </si>
  <si>
    <t>SAÉ - Analyse de données, reporting et datavisualisation</t>
  </si>
  <si>
    <t>PPP1</t>
  </si>
  <si>
    <t>PPP2</t>
  </si>
  <si>
    <t>SAÉ - Portfolio</t>
  </si>
  <si>
    <t>Moyennes</t>
  </si>
  <si>
    <t>Coefficients</t>
  </si>
  <si>
    <t>Moyennes par compétences</t>
  </si>
  <si>
    <t>ABI</t>
  </si>
  <si>
    <t>Absences</t>
  </si>
  <si>
    <t>Ressource Compétence 1 : Traiter des données à des fins décisionnelles</t>
  </si>
  <si>
    <t>Ressource Compétence 2 : Analyser statistiquement les données</t>
  </si>
  <si>
    <t>Ressource Compétence 3 : Valoriser une production dans un contexte professionnel</t>
  </si>
  <si>
    <t>Moyenne Annuel</t>
  </si>
  <si>
    <t>SAE Compétence 1 : Traiter des données à des fins décisionnelles</t>
  </si>
  <si>
    <t>Compétence 1 : Traiter des données à des fins décisionnelles</t>
  </si>
  <si>
    <t>SAE Compétence 2 : Analyser statistiquement les données</t>
  </si>
  <si>
    <t>Compétence 2 : Analyser statistiquement les données</t>
  </si>
  <si>
    <t>SAE Compétence 3 : Valoriser une production dans un contexte professionnel</t>
  </si>
  <si>
    <t>Compétence 3 : Valoriser une production dans un contexte professionnel</t>
  </si>
  <si>
    <t>Blocs</t>
  </si>
  <si>
    <t>Nombre de blocs supérieurs ou égal à 10</t>
  </si>
  <si>
    <t>Nombre de blocs inférieurs à 8</t>
  </si>
  <si>
    <t>Nombre de blocs entre 8 et 10</t>
  </si>
  <si>
    <t>Résultat</t>
  </si>
  <si>
    <t>Moyenne ensemble des compétences</t>
  </si>
  <si>
    <t>Bonification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</si>
</sst>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207EA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EECFB"/>
      <name val="Calibri"/>
      <family val="2"/>
      <scheme val="minor"/>
    </font>
    <font>
      <u/>
      <sz val="14"/>
      <color theme="10"/>
      <name val="Calibri"/>
      <family val="2"/>
      <scheme val="minor"/>
    </font>
    <font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207EA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EECFB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141">
    <xf numFmtId="0" fontId="0" fillId="0" borderId="0" xfId="0"/>
    <xf numFmtId="0" fontId="0" fillId="3" borderId="0" xfId="0" applyFill="1"/>
    <xf numFmtId="0" fontId="5" fillId="2" borderId="29" xfId="0" applyFont="1" applyFill="1" applyBorder="1"/>
    <xf numFmtId="0" fontId="5" fillId="2" borderId="18" xfId="0" applyFont="1" applyFill="1" applyBorder="1"/>
    <xf numFmtId="0" fontId="4" fillId="2" borderId="26" xfId="0" applyFont="1" applyFill="1" applyBorder="1" applyAlignment="1">
      <alignment vertical="center"/>
    </xf>
    <xf numFmtId="0" fontId="4" fillId="2" borderId="27" xfId="0" applyFont="1" applyFill="1" applyBorder="1" applyAlignment="1">
      <alignment vertical="center"/>
    </xf>
    <xf numFmtId="0" fontId="4" fillId="2" borderId="28" xfId="0" applyFont="1" applyFill="1" applyBorder="1" applyAlignment="1">
      <alignment vertical="center"/>
    </xf>
    <xf numFmtId="0" fontId="5" fillId="2" borderId="25" xfId="0" applyFont="1" applyFill="1" applyBorder="1"/>
    <xf numFmtId="0" fontId="7" fillId="2" borderId="25" xfId="0" applyFont="1" applyFill="1" applyBorder="1"/>
    <xf numFmtId="2" fontId="0" fillId="5" borderId="7" xfId="0" applyNumberFormat="1" applyFill="1" applyBorder="1"/>
    <xf numFmtId="2" fontId="0" fillId="5" borderId="2" xfId="0" applyNumberFormat="1" applyFill="1" applyBorder="1"/>
    <xf numFmtId="2" fontId="0" fillId="5" borderId="12" xfId="0" applyNumberFormat="1" applyFill="1" applyBorder="1"/>
    <xf numFmtId="2" fontId="0" fillId="5" borderId="1" xfId="0" applyNumberFormat="1" applyFill="1" applyBorder="1"/>
    <xf numFmtId="0" fontId="0" fillId="5" borderId="7" xfId="0" applyFill="1" applyBorder="1"/>
    <xf numFmtId="0" fontId="0" fillId="5" borderId="12" xfId="0" applyFill="1" applyBorder="1"/>
    <xf numFmtId="2" fontId="0" fillId="5" borderId="7" xfId="0" applyNumberFormat="1" applyFill="1" applyBorder="1" applyAlignment="1">
      <alignment horizontal="right"/>
    </xf>
    <xf numFmtId="2" fontId="0" fillId="3" borderId="0" xfId="0" applyNumberFormat="1" applyFill="1"/>
    <xf numFmtId="0" fontId="0" fillId="3" borderId="0" xfId="0" applyFill="1" applyAlignment="1">
      <alignment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5" borderId="15" xfId="0" applyFill="1" applyBorder="1" applyAlignment="1">
      <alignment vertical="center"/>
    </xf>
    <xf numFmtId="0" fontId="0" fillId="5" borderId="10" xfId="0" applyFill="1" applyBorder="1" applyAlignment="1">
      <alignment vertical="center"/>
    </xf>
    <xf numFmtId="2" fontId="3" fillId="4" borderId="2" xfId="0" applyNumberFormat="1" applyFont="1" applyFill="1" applyBorder="1"/>
    <xf numFmtId="0" fontId="0" fillId="5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vertical="center"/>
    </xf>
    <xf numFmtId="0" fontId="0" fillId="5" borderId="1" xfId="0" applyFill="1" applyBorder="1" applyAlignment="1">
      <alignment vertical="center" wrapText="1"/>
    </xf>
    <xf numFmtId="0" fontId="0" fillId="6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center"/>
    </xf>
    <xf numFmtId="0" fontId="0" fillId="7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vertical="center" wrapText="1"/>
    </xf>
    <xf numFmtId="0" fontId="0" fillId="7" borderId="1" xfId="0" applyFill="1" applyBorder="1" applyAlignment="1">
      <alignment vertical="center"/>
    </xf>
    <xf numFmtId="0" fontId="0" fillId="4" borderId="25" xfId="0" applyFill="1" applyBorder="1"/>
    <xf numFmtId="2" fontId="9" fillId="3" borderId="0" xfId="0" applyNumberFormat="1" applyFont="1" applyFill="1" applyAlignment="1">
      <alignment vertical="center"/>
    </xf>
    <xf numFmtId="0" fontId="0" fillId="2" borderId="25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1" fillId="7" borderId="11" xfId="0" applyFont="1" applyFill="1" applyBorder="1" applyAlignment="1">
      <alignment vertical="center" wrapText="1"/>
    </xf>
    <xf numFmtId="0" fontId="0" fillId="7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1" fillId="5" borderId="1" xfId="0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5" borderId="1" xfId="0" applyFont="1" applyFill="1" applyBorder="1" applyAlignment="1">
      <alignment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vertical="center" wrapText="1"/>
    </xf>
    <xf numFmtId="0" fontId="1" fillId="6" borderId="1" xfId="0" applyFont="1" applyFill="1" applyBorder="1" applyAlignment="1">
      <alignment vertical="center"/>
    </xf>
    <xf numFmtId="0" fontId="0" fillId="6" borderId="1" xfId="0" applyFill="1" applyBorder="1" applyAlignment="1">
      <alignment horizontal="center"/>
    </xf>
    <xf numFmtId="0" fontId="1" fillId="6" borderId="1" xfId="0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vertical="center" wrapText="1"/>
    </xf>
    <xf numFmtId="0" fontId="1" fillId="7" borderId="1" xfId="0" applyFont="1" applyFill="1" applyBorder="1" applyAlignment="1">
      <alignment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vertical="center"/>
    </xf>
    <xf numFmtId="0" fontId="1" fillId="5" borderId="33" xfId="0" applyFont="1" applyFill="1" applyBorder="1" applyAlignment="1">
      <alignment vertical="center"/>
    </xf>
    <xf numFmtId="0" fontId="1" fillId="5" borderId="11" xfId="0" applyFont="1" applyFill="1" applyBorder="1" applyAlignment="1">
      <alignment vertical="center"/>
    </xf>
    <xf numFmtId="0" fontId="1" fillId="6" borderId="11" xfId="0" applyFont="1" applyFill="1" applyBorder="1" applyAlignment="1">
      <alignment vertical="center" wrapText="1"/>
    </xf>
    <xf numFmtId="0" fontId="0" fillId="5" borderId="2" xfId="0" applyFill="1" applyBorder="1" applyAlignment="1">
      <alignment vertical="center"/>
    </xf>
    <xf numFmtId="0" fontId="0" fillId="2" borderId="25" xfId="0" applyFill="1" applyBorder="1" applyAlignment="1">
      <alignment vertical="center"/>
    </xf>
    <xf numFmtId="0" fontId="0" fillId="4" borderId="4" xfId="0" applyFill="1" applyBorder="1"/>
    <xf numFmtId="0" fontId="0" fillId="7" borderId="10" xfId="0" applyFill="1" applyBorder="1" applyAlignment="1">
      <alignment vertical="center" wrapText="1"/>
    </xf>
    <xf numFmtId="0" fontId="0" fillId="7" borderId="10" xfId="0" applyFill="1" applyBorder="1" applyAlignment="1">
      <alignment vertical="center"/>
    </xf>
    <xf numFmtId="0" fontId="0" fillId="6" borderId="11" xfId="0" applyFill="1" applyBorder="1" applyAlignment="1">
      <alignment vertical="center" wrapText="1"/>
    </xf>
    <xf numFmtId="0" fontId="0" fillId="6" borderId="12" xfId="0" applyFill="1" applyBorder="1" applyAlignment="1">
      <alignment vertical="center"/>
    </xf>
    <xf numFmtId="0" fontId="0" fillId="6" borderId="13" xfId="0" applyFill="1" applyBorder="1" applyAlignment="1">
      <alignment vertical="center" wrapText="1"/>
    </xf>
    <xf numFmtId="0" fontId="0" fillId="6" borderId="14" xfId="0" applyFill="1" applyBorder="1" applyAlignment="1">
      <alignment vertical="center" wrapText="1"/>
    </xf>
    <xf numFmtId="0" fontId="1" fillId="7" borderId="11" xfId="0" applyFont="1" applyFill="1" applyBorder="1" applyAlignment="1">
      <alignment vertical="center"/>
    </xf>
    <xf numFmtId="0" fontId="1" fillId="6" borderId="12" xfId="0" applyFont="1" applyFill="1" applyBorder="1" applyAlignment="1">
      <alignment vertical="center"/>
    </xf>
    <xf numFmtId="0" fontId="1" fillId="6" borderId="13" xfId="0" applyFont="1" applyFill="1" applyBorder="1" applyAlignment="1">
      <alignment vertical="center" wrapText="1"/>
    </xf>
    <xf numFmtId="0" fontId="1" fillId="6" borderId="14" xfId="0" applyFont="1" applyFill="1" applyBorder="1" applyAlignment="1">
      <alignment vertical="center" wrapText="1"/>
    </xf>
    <xf numFmtId="0" fontId="0" fillId="5" borderId="2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3" fillId="4" borderId="4" xfId="0" applyFont="1" applyFill="1" applyBorder="1"/>
    <xf numFmtId="0" fontId="3" fillId="4" borderId="25" xfId="0" applyFont="1" applyFill="1" applyBorder="1"/>
    <xf numFmtId="2" fontId="3" fillId="4" borderId="2" xfId="0" applyNumberFormat="1" applyFont="1" applyFill="1" applyBorder="1" applyAlignment="1">
      <alignment horizontal="center" vertical="center"/>
    </xf>
    <xf numFmtId="2" fontId="3" fillId="4" borderId="1" xfId="0" applyNumberFormat="1" applyFont="1" applyFill="1" applyBorder="1" applyAlignment="1">
      <alignment horizontal="center" vertical="center"/>
    </xf>
    <xf numFmtId="0" fontId="11" fillId="3" borderId="0" xfId="0" applyFont="1" applyFill="1"/>
    <xf numFmtId="2" fontId="0" fillId="5" borderId="2" xfId="0" applyNumberFormat="1" applyFill="1" applyBorder="1" applyAlignment="1">
      <alignment horizontal="right"/>
    </xf>
    <xf numFmtId="2" fontId="0" fillId="5" borderId="12" xfId="0" applyNumberFormat="1" applyFill="1" applyBorder="1" applyAlignment="1">
      <alignment horizontal="right"/>
    </xf>
    <xf numFmtId="2" fontId="0" fillId="5" borderId="1" xfId="0" applyNumberFormat="1" applyFill="1" applyBorder="1" applyAlignment="1">
      <alignment horizontal="right"/>
    </xf>
    <xf numFmtId="2" fontId="0" fillId="4" borderId="1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0" fontId="15" fillId="3" borderId="0" xfId="0" applyFont="1" applyFill="1" applyBorder="1"/>
    <xf numFmtId="0" fontId="0" fillId="3" borderId="0" xfId="0" applyFill="1" applyBorder="1"/>
    <xf numFmtId="0" fontId="4" fillId="2" borderId="25" xfId="0" applyFont="1" applyFill="1" applyBorder="1" applyAlignment="1">
      <alignment vertical="center"/>
    </xf>
    <xf numFmtId="0" fontId="5" fillId="2" borderId="34" xfId="0" applyFont="1" applyFill="1" applyBorder="1"/>
    <xf numFmtId="0" fontId="5" fillId="2" borderId="35" xfId="0" applyFont="1" applyFill="1" applyBorder="1"/>
    <xf numFmtId="2" fontId="0" fillId="4" borderId="1" xfId="0" applyNumberFormat="1" applyFill="1" applyBorder="1"/>
    <xf numFmtId="2" fontId="0" fillId="4" borderId="12" xfId="0" applyNumberFormat="1" applyFill="1" applyBorder="1"/>
    <xf numFmtId="0" fontId="0" fillId="2" borderId="3" xfId="0" applyFill="1" applyBorder="1"/>
    <xf numFmtId="0" fontId="14" fillId="3" borderId="0" xfId="1" applyFont="1" applyFill="1" applyAlignment="1">
      <alignment horizontal="center"/>
    </xf>
    <xf numFmtId="0" fontId="13" fillId="3" borderId="0" xfId="0" applyFont="1" applyFill="1" applyAlignment="1">
      <alignment horizontal="center"/>
    </xf>
    <xf numFmtId="0" fontId="10" fillId="2" borderId="0" xfId="0" applyFont="1" applyFill="1" applyAlignment="1">
      <alignment horizontal="center" vertical="center"/>
    </xf>
    <xf numFmtId="0" fontId="6" fillId="2" borderId="31" xfId="0" applyFont="1" applyFill="1" applyBorder="1" applyAlignment="1">
      <alignment horizontal="center" vertical="center"/>
    </xf>
    <xf numFmtId="0" fontId="6" fillId="2" borderId="32" xfId="0" applyFont="1" applyFill="1" applyBorder="1" applyAlignment="1">
      <alignment horizontal="center" vertical="center"/>
    </xf>
    <xf numFmtId="0" fontId="8" fillId="3" borderId="20" xfId="0" applyFont="1" applyFill="1" applyBorder="1" applyAlignment="1">
      <alignment horizontal="center" vertical="center"/>
    </xf>
    <xf numFmtId="0" fontId="8" fillId="3" borderId="30" xfId="0" applyFont="1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0" fillId="6" borderId="9" xfId="0" applyFill="1" applyBorder="1" applyAlignment="1">
      <alignment horizontal="center" vertical="center" wrapText="1"/>
    </xf>
    <xf numFmtId="0" fontId="0" fillId="6" borderId="8" xfId="0" applyFill="1" applyBorder="1" applyAlignment="1">
      <alignment horizontal="center" vertical="center" wrapText="1"/>
    </xf>
    <xf numFmtId="0" fontId="0" fillId="6" borderId="15" xfId="0" applyFill="1" applyBorder="1" applyAlignment="1">
      <alignment horizontal="center" vertical="center" wrapText="1"/>
    </xf>
    <xf numFmtId="0" fontId="0" fillId="6" borderId="7" xfId="0" applyFill="1" applyBorder="1" applyAlignment="1">
      <alignment horizontal="center" vertical="center" wrapText="1"/>
    </xf>
    <xf numFmtId="2" fontId="3" fillId="3" borderId="5" xfId="0" applyNumberFormat="1" applyFont="1" applyFill="1" applyBorder="1" applyAlignment="1">
      <alignment horizontal="center" vertical="center"/>
    </xf>
    <xf numFmtId="2" fontId="3" fillId="3" borderId="6" xfId="0" applyNumberFormat="1" applyFont="1" applyFill="1" applyBorder="1" applyAlignment="1">
      <alignment horizontal="center" vertical="center"/>
    </xf>
    <xf numFmtId="2" fontId="3" fillId="3" borderId="9" xfId="0" applyNumberFormat="1" applyFont="1" applyFill="1" applyBorder="1" applyAlignment="1">
      <alignment horizontal="center" vertical="center"/>
    </xf>
    <xf numFmtId="2" fontId="3" fillId="3" borderId="8" xfId="0" applyNumberFormat="1" applyFont="1" applyFill="1" applyBorder="1" applyAlignment="1">
      <alignment horizontal="center" vertical="center"/>
    </xf>
    <xf numFmtId="2" fontId="3" fillId="3" borderId="15" xfId="0" applyNumberFormat="1" applyFont="1" applyFill="1" applyBorder="1" applyAlignment="1">
      <alignment horizontal="center" vertical="center"/>
    </xf>
    <xf numFmtId="2" fontId="3" fillId="3" borderId="7" xfId="0" applyNumberFormat="1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19" xfId="0" applyFill="1" applyBorder="1" applyAlignment="1">
      <alignment vertical="center"/>
    </xf>
    <xf numFmtId="0" fontId="0" fillId="2" borderId="4" xfId="0" applyFill="1" applyBorder="1" applyAlignment="1">
      <alignment vertical="center"/>
    </xf>
    <xf numFmtId="0" fontId="0" fillId="6" borderId="1" xfId="0" applyFill="1" applyBorder="1" applyAlignment="1">
      <alignment horizontal="center" vertical="center" wrapText="1"/>
    </xf>
    <xf numFmtId="2" fontId="0" fillId="3" borderId="5" xfId="0" applyNumberFormat="1" applyFill="1" applyBorder="1" applyAlignment="1">
      <alignment horizontal="center" vertical="center"/>
    </xf>
    <xf numFmtId="2" fontId="0" fillId="3" borderId="6" xfId="0" applyNumberFormat="1" applyFill="1" applyBorder="1" applyAlignment="1">
      <alignment horizontal="center" vertical="center"/>
    </xf>
    <xf numFmtId="2" fontId="0" fillId="3" borderId="9" xfId="0" applyNumberFormat="1" applyFill="1" applyBorder="1" applyAlignment="1">
      <alignment horizontal="center" vertical="center"/>
    </xf>
    <xf numFmtId="2" fontId="0" fillId="3" borderId="8" xfId="0" applyNumberFormat="1" applyFill="1" applyBorder="1" applyAlignment="1">
      <alignment horizontal="center" vertical="center"/>
    </xf>
    <xf numFmtId="2" fontId="0" fillId="3" borderId="15" xfId="0" applyNumberFormat="1" applyFill="1" applyBorder="1" applyAlignment="1">
      <alignment horizontal="center" vertical="center"/>
    </xf>
    <xf numFmtId="2" fontId="0" fillId="3" borderId="7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2" fontId="0" fillId="3" borderId="23" xfId="0" applyNumberFormat="1" applyFill="1" applyBorder="1" applyAlignment="1">
      <alignment horizontal="center" vertical="center"/>
    </xf>
    <xf numFmtId="2" fontId="0" fillId="3" borderId="24" xfId="0" applyNumberFormat="1" applyFill="1" applyBorder="1" applyAlignment="1">
      <alignment horizontal="center" vertical="center"/>
    </xf>
    <xf numFmtId="0" fontId="0" fillId="2" borderId="17" xfId="0" applyFill="1" applyBorder="1" applyAlignment="1">
      <alignment vertical="center"/>
    </xf>
    <xf numFmtId="0" fontId="0" fillId="2" borderId="18" xfId="0" applyFill="1" applyBorder="1" applyAlignment="1">
      <alignment vertical="center"/>
    </xf>
    <xf numFmtId="0" fontId="0" fillId="5" borderId="23" xfId="0" applyFill="1" applyBorder="1" applyAlignment="1">
      <alignment horizontal="center" vertical="center" wrapText="1"/>
    </xf>
    <xf numFmtId="0" fontId="0" fillId="5" borderId="24" xfId="0" applyFill="1" applyBorder="1" applyAlignment="1">
      <alignment horizontal="center" vertical="center" wrapText="1"/>
    </xf>
    <xf numFmtId="0" fontId="0" fillId="5" borderId="9" xfId="0" applyFill="1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 wrapText="1"/>
    </xf>
    <xf numFmtId="0" fontId="0" fillId="5" borderId="15" xfId="0" applyFill="1" applyBorder="1" applyAlignment="1">
      <alignment horizontal="center" vertical="center" wrapText="1"/>
    </xf>
    <xf numFmtId="0" fontId="0" fillId="5" borderId="7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 wrapText="1"/>
    </xf>
    <xf numFmtId="0" fontId="0" fillId="7" borderId="6" xfId="0" applyFill="1" applyBorder="1" applyAlignment="1">
      <alignment horizontal="center" vertical="center" wrapText="1"/>
    </xf>
    <xf numFmtId="0" fontId="0" fillId="7" borderId="9" xfId="0" applyFill="1" applyBorder="1" applyAlignment="1">
      <alignment horizontal="center" vertical="center" wrapText="1"/>
    </xf>
    <xf numFmtId="0" fontId="0" fillId="7" borderId="8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7" xfId="0" applyFill="1" applyBorder="1" applyAlignment="1">
      <alignment horizontal="center" vertical="center" wrapText="1"/>
    </xf>
    <xf numFmtId="0" fontId="0" fillId="2" borderId="21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9" tint="0.59996337778862885"/>
      </font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207EA0"/>
      <color rgb="FFFEECFB"/>
      <color rgb="FFDF5FC7"/>
      <color rgb="FFE5AF01"/>
      <color rgb="FFFDD7F6"/>
      <color rgb="FFE05D34"/>
      <color rgb="FFFBABEC"/>
      <color rgb="FFFEC202"/>
      <color rgb="FFED83D9"/>
      <color rgb="FFFCBA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'Mon année'!$C$7</c:f>
              <c:strCache>
                <c:ptCount val="1"/>
                <c:pt idx="0">
                  <c:v>Ressource Compétence 1 : Traiter des données à des fins décisionnelles</c:v>
                </c:pt>
              </c:strCache>
            </c:strRef>
          </c:tx>
          <c:spPr>
            <a:solidFill>
              <a:srgbClr val="FBABE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'Mon année'!$D$6:$E$6</c:f>
              <c:strCache>
                <c:ptCount val="2"/>
                <c:pt idx="0">
                  <c:v>Semestre 1</c:v>
                </c:pt>
                <c:pt idx="1">
                  <c:v>Semestre 2</c:v>
                </c:pt>
              </c:strCache>
            </c:strRef>
          </c:cat>
          <c:val>
            <c:numRef>
              <c:f>'Mon année'!$D$7:$E$7</c:f>
              <c:numCache>
                <c:formatCode>0.00</c:formatCode>
                <c:ptCount val="2"/>
                <c:pt idx="0">
                  <c:v>15.010833333333332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B8-4163-87E6-D162C1CEDC96}"/>
            </c:ext>
          </c:extLst>
        </c:ser>
        <c:ser>
          <c:idx val="1"/>
          <c:order val="1"/>
          <c:tx>
            <c:strRef>
              <c:f>'Mon année'!$C$8</c:f>
              <c:strCache>
                <c:ptCount val="1"/>
                <c:pt idx="0">
                  <c:v>Ressource Compétence 2 : Analyser statistiquement les données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'Mon année'!$D$6:$E$6</c:f>
              <c:strCache>
                <c:ptCount val="2"/>
                <c:pt idx="0">
                  <c:v>Semestre 1</c:v>
                </c:pt>
                <c:pt idx="1">
                  <c:v>Semestre 2</c:v>
                </c:pt>
              </c:strCache>
            </c:strRef>
          </c:cat>
          <c:val>
            <c:numRef>
              <c:f>'Mon année'!$D$8:$E$8</c:f>
              <c:numCache>
                <c:formatCode>0.00</c:formatCode>
                <c:ptCount val="2"/>
                <c:pt idx="0">
                  <c:v>15.951388888888889</c:v>
                </c:pt>
                <c:pt idx="1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8-4163-87E6-D162C1CEDC96}"/>
            </c:ext>
          </c:extLst>
        </c:ser>
        <c:ser>
          <c:idx val="2"/>
          <c:order val="2"/>
          <c:tx>
            <c:strRef>
              <c:f>'Mon année'!$C$9</c:f>
              <c:strCache>
                <c:ptCount val="1"/>
                <c:pt idx="0">
                  <c:v>Ressource Compétence 3 : Valoriser une production dans un contexte professionnel</c:v>
                </c:pt>
              </c:strCache>
            </c:strRef>
          </c:tx>
          <c:spPr>
            <a:solidFill>
              <a:srgbClr val="207E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'Mon année'!$D$6:$E$6</c:f>
              <c:strCache>
                <c:ptCount val="2"/>
                <c:pt idx="0">
                  <c:v>Semestre 1</c:v>
                </c:pt>
                <c:pt idx="1">
                  <c:v>Semestre 2</c:v>
                </c:pt>
              </c:strCache>
            </c:strRef>
          </c:cat>
          <c:val>
            <c:numRef>
              <c:f>'Mon année'!$D$9:$E$9</c:f>
              <c:numCache>
                <c:formatCode>0.00</c:formatCode>
                <c:ptCount val="2"/>
                <c:pt idx="0">
                  <c:v>17.004444444444445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B8-4163-87E6-D162C1CEDC9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782709328"/>
        <c:axId val="1782710160"/>
      </c:barChart>
      <c:catAx>
        <c:axId val="17827093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82710160"/>
        <c:crosses val="autoZero"/>
        <c:auto val="1"/>
        <c:lblAlgn val="ctr"/>
        <c:lblOffset val="100"/>
        <c:noMultiLvlLbl val="0"/>
      </c:catAx>
      <c:valAx>
        <c:axId val="1782710160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82709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'Mon année'!$C$13</c:f>
              <c:strCache>
                <c:ptCount val="1"/>
                <c:pt idx="0">
                  <c:v>SAE Compétence 1 : Traiter des données à des fins décisionnelles</c:v>
                </c:pt>
              </c:strCache>
            </c:strRef>
          </c:tx>
          <c:spPr>
            <a:solidFill>
              <a:srgbClr val="FBABE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'Mon année'!$D$12:$E$12</c:f>
              <c:strCache>
                <c:ptCount val="2"/>
                <c:pt idx="0">
                  <c:v>Semestre 1</c:v>
                </c:pt>
                <c:pt idx="1">
                  <c:v>Semestre 2</c:v>
                </c:pt>
              </c:strCache>
            </c:strRef>
          </c:cat>
          <c:val>
            <c:numRef>
              <c:f>'Mon année'!$D$13:$E$13</c:f>
              <c:numCache>
                <c:formatCode>0.00</c:formatCode>
                <c:ptCount val="2"/>
                <c:pt idx="0">
                  <c:v>15.875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F6-4FF2-92BC-DF7264BA40AA}"/>
            </c:ext>
          </c:extLst>
        </c:ser>
        <c:ser>
          <c:idx val="1"/>
          <c:order val="1"/>
          <c:tx>
            <c:strRef>
              <c:f>'Mon année'!$C$14</c:f>
              <c:strCache>
                <c:ptCount val="1"/>
                <c:pt idx="0">
                  <c:v>SAE Compétence 2 : Analyser statistiquement les données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'Mon année'!$D$12:$E$12</c:f>
              <c:strCache>
                <c:ptCount val="2"/>
                <c:pt idx="0">
                  <c:v>Semestre 1</c:v>
                </c:pt>
                <c:pt idx="1">
                  <c:v>Semestre 2</c:v>
                </c:pt>
              </c:strCache>
            </c:strRef>
          </c:cat>
          <c:val>
            <c:numRef>
              <c:f>'Mon année'!$D$14:$E$14</c:f>
              <c:numCache>
                <c:formatCode>0.00</c:formatCode>
                <c:ptCount val="2"/>
                <c:pt idx="0">
                  <c:v>15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F6-4FF2-92BC-DF7264BA40AA}"/>
            </c:ext>
          </c:extLst>
        </c:ser>
        <c:ser>
          <c:idx val="2"/>
          <c:order val="2"/>
          <c:tx>
            <c:strRef>
              <c:f>'Mon année'!$C$15</c:f>
              <c:strCache>
                <c:ptCount val="1"/>
                <c:pt idx="0">
                  <c:v>SAE Compétence 3 : Valoriser une production dans un contexte professionnel</c:v>
                </c:pt>
              </c:strCache>
            </c:strRef>
          </c:tx>
          <c:spPr>
            <a:solidFill>
              <a:srgbClr val="207E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'Mon année'!$D$12:$E$12</c:f>
              <c:strCache>
                <c:ptCount val="2"/>
                <c:pt idx="0">
                  <c:v>Semestre 1</c:v>
                </c:pt>
                <c:pt idx="1">
                  <c:v>Semestre 2</c:v>
                </c:pt>
              </c:strCache>
            </c:strRef>
          </c:cat>
          <c:val>
            <c:numRef>
              <c:f>'Mon année'!$D$15:$E$15</c:f>
              <c:numCache>
                <c:formatCode>0.00</c:formatCode>
                <c:ptCount val="2"/>
                <c:pt idx="0">
                  <c:v>15.9475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F6-4FF2-92BC-DF7264BA40A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821797280"/>
        <c:axId val="1821799360"/>
      </c:barChart>
      <c:catAx>
        <c:axId val="18217972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799360"/>
        <c:crosses val="autoZero"/>
        <c:auto val="1"/>
        <c:lblAlgn val="ctr"/>
        <c:lblOffset val="100"/>
        <c:noMultiLvlLbl val="0"/>
      </c:catAx>
      <c:valAx>
        <c:axId val="1821799360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797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'Mon année'!$C$19</c:f>
              <c:strCache>
                <c:ptCount val="1"/>
                <c:pt idx="0">
                  <c:v>Compétence 1 : Traiter des données à des fins décisionnelles</c:v>
                </c:pt>
              </c:strCache>
            </c:strRef>
          </c:tx>
          <c:spPr>
            <a:solidFill>
              <a:srgbClr val="FBABE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'Mon année'!$D$18:$E$18</c:f>
              <c:strCache>
                <c:ptCount val="2"/>
                <c:pt idx="0">
                  <c:v>Semestre 1</c:v>
                </c:pt>
                <c:pt idx="1">
                  <c:v>Semestre 2</c:v>
                </c:pt>
              </c:strCache>
            </c:strRef>
          </c:cat>
          <c:val>
            <c:numRef>
              <c:f>'Mon année'!$D$19:$E$19</c:f>
              <c:numCache>
                <c:formatCode>0.00</c:formatCode>
                <c:ptCount val="2"/>
                <c:pt idx="0">
                  <c:v>15.6065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8E-4264-A109-855483D608E6}"/>
            </c:ext>
          </c:extLst>
        </c:ser>
        <c:ser>
          <c:idx val="1"/>
          <c:order val="1"/>
          <c:tx>
            <c:strRef>
              <c:f>'Mon année'!$C$20</c:f>
              <c:strCache>
                <c:ptCount val="1"/>
                <c:pt idx="0">
                  <c:v>Compétence 2 : Analyser statistiquement les données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'Mon année'!$D$18:$E$18</c:f>
              <c:strCache>
                <c:ptCount val="2"/>
                <c:pt idx="0">
                  <c:v>Semestre 1</c:v>
                </c:pt>
                <c:pt idx="1">
                  <c:v>Semestre 2</c:v>
                </c:pt>
              </c:strCache>
            </c:strRef>
          </c:cat>
          <c:val>
            <c:numRef>
              <c:f>'Mon année'!$D$20:$E$20</c:f>
              <c:numCache>
                <c:formatCode>0.00</c:formatCode>
                <c:ptCount val="2"/>
                <c:pt idx="0">
                  <c:v>15.820833333333335</c:v>
                </c:pt>
                <c:pt idx="1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8E-4264-A109-855483D608E6}"/>
            </c:ext>
          </c:extLst>
        </c:ser>
        <c:ser>
          <c:idx val="2"/>
          <c:order val="2"/>
          <c:tx>
            <c:strRef>
              <c:f>'Mon année'!$C$21</c:f>
              <c:strCache>
                <c:ptCount val="1"/>
                <c:pt idx="0">
                  <c:v>Compétence 3 : Valoriser une production dans un contexte professionnel</c:v>
                </c:pt>
              </c:strCache>
            </c:strRef>
          </c:tx>
          <c:spPr>
            <a:solidFill>
              <a:srgbClr val="207E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'Mon année'!$D$18:$E$18</c:f>
              <c:strCache>
                <c:ptCount val="2"/>
                <c:pt idx="0">
                  <c:v>Semestre 1</c:v>
                </c:pt>
                <c:pt idx="1">
                  <c:v>Semestre 2</c:v>
                </c:pt>
              </c:strCache>
            </c:strRef>
          </c:cat>
          <c:val>
            <c:numRef>
              <c:f>'Mon année'!$D$21:$E$21</c:f>
              <c:numCache>
                <c:formatCode>0.00</c:formatCode>
                <c:ptCount val="2"/>
                <c:pt idx="0">
                  <c:v>16.831666666666663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8E-4264-A109-855483D608E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782711408"/>
        <c:axId val="1782710576"/>
      </c:barChart>
      <c:catAx>
        <c:axId val="17827114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82710576"/>
        <c:crosses val="autoZero"/>
        <c:auto val="1"/>
        <c:lblAlgn val="ctr"/>
        <c:lblOffset val="100"/>
        <c:noMultiLvlLbl val="0"/>
      </c:catAx>
      <c:valAx>
        <c:axId val="1782710576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8271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'Mon année'!$G$13</c:f>
              <c:strCache>
                <c:ptCount val="1"/>
                <c:pt idx="0">
                  <c:v>Compétence 1 : Traiter des données à des fins décisionnelles</c:v>
                </c:pt>
              </c:strCache>
            </c:strRef>
          </c:tx>
          <c:spPr>
            <a:solidFill>
              <a:srgbClr val="FBABE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'Mon année'!$H$13</c:f>
              <c:numCache>
                <c:formatCode>0.00</c:formatCode>
                <c:ptCount val="1"/>
                <c:pt idx="0">
                  <c:v>15.6065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3-45D0-979E-BBDBD0F5D159}"/>
            </c:ext>
          </c:extLst>
        </c:ser>
        <c:ser>
          <c:idx val="1"/>
          <c:order val="1"/>
          <c:tx>
            <c:strRef>
              <c:f>'Mon année'!$G$14</c:f>
              <c:strCache>
                <c:ptCount val="1"/>
                <c:pt idx="0">
                  <c:v>Compétence 2 : Analyser statistiquement les données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'Mon année'!$H$14</c:f>
              <c:numCache>
                <c:formatCode>0.00</c:formatCode>
                <c:ptCount val="1"/>
                <c:pt idx="0">
                  <c:v>16.910416666666666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3-45D0-979E-BBDBD0F5D159}"/>
            </c:ext>
          </c:extLst>
        </c:ser>
        <c:ser>
          <c:idx val="2"/>
          <c:order val="2"/>
          <c:tx>
            <c:strRef>
              <c:f>'Mon année'!$G$15</c:f>
              <c:strCache>
                <c:ptCount val="1"/>
                <c:pt idx="0">
                  <c:v>Compétence 3 : Valoriser une production dans un contexte professionnel</c:v>
                </c:pt>
              </c:strCache>
            </c:strRef>
          </c:tx>
          <c:spPr>
            <a:solidFill>
              <a:srgbClr val="207EA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07E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43-45D0-979E-BBDBD0F5D15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'Mon année'!$H$15</c:f>
              <c:numCache>
                <c:formatCode>0.00</c:formatCode>
                <c:ptCount val="1"/>
                <c:pt idx="0">
                  <c:v>16.831666666666663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3-45D0-979E-BBDBD0F5D15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506930464"/>
        <c:axId val="506929632"/>
      </c:barChart>
      <c:catAx>
        <c:axId val="5069304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06929632"/>
        <c:crosses val="autoZero"/>
        <c:auto val="1"/>
        <c:lblAlgn val="ctr"/>
        <c:lblOffset val="100"/>
        <c:noMultiLvlLbl val="0"/>
      </c:catAx>
      <c:valAx>
        <c:axId val="506929632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06930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207EA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A21-4F7F-8E75-CF9816EF5292}"/>
              </c:ext>
            </c:extLst>
          </c:dPt>
          <c:dPt>
            <c:idx val="1"/>
            <c:bubble3D val="0"/>
            <c:spPr>
              <a:solidFill>
                <a:srgbClr val="FEC20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A21-4F7F-8E75-CF9816EF5292}"/>
              </c:ext>
            </c:extLst>
          </c:dPt>
          <c:dPt>
            <c:idx val="2"/>
            <c:bubble3D val="0"/>
            <c:spPr>
              <a:solidFill>
                <a:srgbClr val="FBABE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A21-4F7F-8E75-CF9816EF529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'Mon année'!$G$7:$G$9</c:f>
              <c:strCache>
                <c:ptCount val="3"/>
                <c:pt idx="0">
                  <c:v>Nombre de blocs supérieurs ou égal à 10</c:v>
                </c:pt>
                <c:pt idx="1">
                  <c:v>Nombre de blocs entre 8 et 10</c:v>
                </c:pt>
                <c:pt idx="2">
                  <c:v>Nombre de blocs inférieurs à 8</c:v>
                </c:pt>
              </c:strCache>
            </c:strRef>
          </c:cat>
          <c:val>
            <c:numRef>
              <c:f>'Mon année'!$H$7:$H$9</c:f>
              <c:numCache>
                <c:formatCode>General</c:formatCode>
                <c:ptCount val="3"/>
                <c:pt idx="0">
                  <c:v>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A21-4F7F-8E75-CF9816EF5292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sv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2" Type="http://schemas.openxmlformats.org/officeDocument/2006/relationships/image" Target="../media/image10.svg"/><Relationship Id="rId1" Type="http://schemas.openxmlformats.org/officeDocument/2006/relationships/image" Target="../media/image9.png"/><Relationship Id="rId6" Type="http://schemas.openxmlformats.org/officeDocument/2006/relationships/image" Target="../media/image14.svg"/><Relationship Id="rId11" Type="http://schemas.openxmlformats.org/officeDocument/2006/relationships/image" Target="../media/image19.png"/><Relationship Id="rId5" Type="http://schemas.openxmlformats.org/officeDocument/2006/relationships/image" Target="../media/image13.png"/><Relationship Id="rId10" Type="http://schemas.openxmlformats.org/officeDocument/2006/relationships/image" Target="../media/image18.png"/><Relationship Id="rId4" Type="http://schemas.openxmlformats.org/officeDocument/2006/relationships/image" Target="../media/image12.svg"/><Relationship Id="rId9" Type="http://schemas.openxmlformats.org/officeDocument/2006/relationships/image" Target="../media/image1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svg"/><Relationship Id="rId1" Type="http://schemas.openxmlformats.org/officeDocument/2006/relationships/image" Target="../media/image22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85726</xdr:rowOff>
    </xdr:from>
    <xdr:to>
      <xdr:col>20</xdr:col>
      <xdr:colOff>40481</xdr:colOff>
      <xdr:row>4</xdr:row>
      <xdr:rowOff>171450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428380" y="85726"/>
          <a:ext cx="14072620" cy="811438"/>
        </a:xfrm>
        <a:prstGeom prst="roundRect">
          <a:avLst/>
        </a:prstGeom>
        <a:solidFill>
          <a:srgbClr val="FEECFB"/>
        </a:solidFill>
        <a:ln>
          <a:solidFill>
            <a:srgbClr val="FEECF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rgbClr val="207EA0"/>
              </a:solidFill>
              <a:effectLst/>
              <a:latin typeface="+mn-lt"/>
              <a:ea typeface="+mn-ea"/>
              <a:cs typeface="+mn-cs"/>
            </a:rPr>
            <a:t>Bienvenue</a:t>
          </a:r>
          <a:r>
            <a:rPr lang="fr-FR" sz="1800" b="1" baseline="0">
              <a:solidFill>
                <a:srgbClr val="207EA0"/>
              </a:solidFill>
              <a:effectLst/>
              <a:latin typeface="+mn-lt"/>
              <a:ea typeface="+mn-ea"/>
              <a:cs typeface="+mn-cs"/>
            </a:rPr>
            <a:t> sur </a:t>
          </a:r>
          <a:r>
            <a:rPr lang="fr-FR" sz="1800" b="1" i="1" baseline="0">
              <a:solidFill>
                <a:srgbClr val="DF5FC7"/>
              </a:solidFill>
              <a:effectLst/>
              <a:latin typeface="Kristen ITC" panose="03050502040202030202" pitchFamily="66" charset="0"/>
              <a:ea typeface="+mn-ea"/>
              <a:cs typeface="+mn-cs"/>
            </a:rPr>
            <a:t>BlaBlaNotes</a:t>
          </a:r>
          <a:endParaRPr lang="fr-FR" sz="1800" i="1">
            <a:solidFill>
              <a:srgbClr val="DF5FC7"/>
            </a:solidFill>
            <a:effectLst/>
            <a:latin typeface="Kristen ITC" panose="03050502040202030202" pitchFamily="66" charset="0"/>
          </a:endParaRPr>
        </a:p>
        <a:p>
          <a:pPr algn="ctr"/>
          <a:r>
            <a:rPr lang="fr-FR" sz="1800" b="1" baseline="0">
              <a:solidFill>
                <a:srgbClr val="207EA0"/>
              </a:solidFill>
              <a:effectLst/>
              <a:latin typeface="+mn-lt"/>
              <a:ea typeface="+mn-ea"/>
              <a:cs typeface="+mn-cs"/>
            </a:rPr>
            <a:t>Votre outil personnel de gestion de notes</a:t>
          </a:r>
          <a:endParaRPr lang="fr-FR" sz="1800">
            <a:solidFill>
              <a:srgbClr val="207EA0"/>
            </a:solidFill>
            <a:effectLst/>
          </a:endParaRPr>
        </a:p>
      </xdr:txBody>
    </xdr:sp>
    <xdr:clientData/>
  </xdr:twoCellAnchor>
  <xdr:twoCellAnchor>
    <xdr:from>
      <xdr:col>5</xdr:col>
      <xdr:colOff>752475</xdr:colOff>
      <xdr:row>29</xdr:row>
      <xdr:rowOff>38101</xdr:rowOff>
    </xdr:from>
    <xdr:to>
      <xdr:col>16</xdr:col>
      <xdr:colOff>504825</xdr:colOff>
      <xdr:row>33</xdr:row>
      <xdr:rowOff>19050</xdr:rowOff>
    </xdr:to>
    <xdr:sp macro="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4562475" y="5562601"/>
          <a:ext cx="8134350" cy="742949"/>
        </a:xfrm>
        <a:prstGeom prst="roundRect">
          <a:avLst/>
        </a:prstGeom>
        <a:solidFill>
          <a:srgbClr val="FEECFB"/>
        </a:solidFill>
        <a:ln>
          <a:solidFill>
            <a:srgbClr val="FEECF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fr-FR" sz="1800">
            <a:solidFill>
              <a:sysClr val="windowText" lastClr="000000"/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30</xdr:row>
          <xdr:rowOff>12700</xdr:rowOff>
        </xdr:from>
        <xdr:to>
          <xdr:col>8</xdr:col>
          <xdr:colOff>57150</xdr:colOff>
          <xdr:row>32</xdr:row>
          <xdr:rowOff>95250</xdr:rowOff>
        </xdr:to>
        <xdr:sp macro="" textlink="">
          <xdr:nvSpPr>
            <xdr:cNvPr id="1033" name="btnTableauDeB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501650</xdr:colOff>
          <xdr:row>30</xdr:row>
          <xdr:rowOff>12700</xdr:rowOff>
        </xdr:from>
        <xdr:to>
          <xdr:col>10</xdr:col>
          <xdr:colOff>730250</xdr:colOff>
          <xdr:row>32</xdr:row>
          <xdr:rowOff>82550</xdr:rowOff>
        </xdr:to>
        <xdr:sp macro="" textlink="">
          <xdr:nvSpPr>
            <xdr:cNvPr id="1034" name="btnResultat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279400</xdr:colOff>
          <xdr:row>30</xdr:row>
          <xdr:rowOff>12700</xdr:rowOff>
        </xdr:from>
        <xdr:to>
          <xdr:col>13</xdr:col>
          <xdr:colOff>501650</xdr:colOff>
          <xdr:row>32</xdr:row>
          <xdr:rowOff>82550</xdr:rowOff>
        </xdr:to>
        <xdr:sp macro="" textlink="">
          <xdr:nvSpPr>
            <xdr:cNvPr id="1035" name="btnNote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30</xdr:row>
          <xdr:rowOff>12700</xdr:rowOff>
        </xdr:from>
        <xdr:to>
          <xdr:col>16</xdr:col>
          <xdr:colOff>241300</xdr:colOff>
          <xdr:row>32</xdr:row>
          <xdr:rowOff>82550</xdr:rowOff>
        </xdr:to>
        <xdr:sp macro="" textlink="">
          <xdr:nvSpPr>
            <xdr:cNvPr id="1036" name="btnConsigne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704850</xdr:colOff>
      <xdr:row>8</xdr:row>
      <xdr:rowOff>19050</xdr:rowOff>
    </xdr:from>
    <xdr:to>
      <xdr:col>10</xdr:col>
      <xdr:colOff>628649</xdr:colOff>
      <xdr:row>14</xdr:row>
      <xdr:rowOff>19050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514850" y="1543050"/>
          <a:ext cx="3733799" cy="1143000"/>
        </a:xfrm>
        <a:prstGeom prst="roundRect">
          <a:avLst/>
        </a:prstGeom>
        <a:solidFill>
          <a:srgbClr val="FEECFB"/>
        </a:solidFill>
        <a:ln>
          <a:solidFill>
            <a:srgbClr val="FEECF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619125</xdr:colOff>
      <xdr:row>8</xdr:row>
      <xdr:rowOff>19050</xdr:rowOff>
    </xdr:from>
    <xdr:to>
      <xdr:col>16</xdr:col>
      <xdr:colOff>476251</xdr:colOff>
      <xdr:row>14</xdr:row>
      <xdr:rowOff>19050</xdr:rowOff>
    </xdr:to>
    <xdr:sp macro="" textlink="">
      <xdr:nvSpPr>
        <xdr:cNvPr id="59" name="Rectangle : coins arrondis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9001125" y="1543050"/>
          <a:ext cx="3667126" cy="1143000"/>
        </a:xfrm>
        <a:prstGeom prst="roundRect">
          <a:avLst/>
        </a:prstGeom>
        <a:solidFill>
          <a:srgbClr val="FEECFB"/>
        </a:solidFill>
        <a:ln>
          <a:solidFill>
            <a:srgbClr val="FEECF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619124</xdr:colOff>
      <xdr:row>16</xdr:row>
      <xdr:rowOff>9525</xdr:rowOff>
    </xdr:from>
    <xdr:to>
      <xdr:col>16</xdr:col>
      <xdr:colOff>504825</xdr:colOff>
      <xdr:row>22</xdr:row>
      <xdr:rowOff>9525</xdr:rowOff>
    </xdr:to>
    <xdr:sp macro="" textlink="">
      <xdr:nvSpPr>
        <xdr:cNvPr id="60" name="Rectangle : coins arrondis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9001124" y="3057525"/>
          <a:ext cx="3695701" cy="1143000"/>
        </a:xfrm>
        <a:prstGeom prst="roundRect">
          <a:avLst/>
        </a:prstGeom>
        <a:solidFill>
          <a:srgbClr val="FEECFB"/>
        </a:solidFill>
        <a:ln>
          <a:solidFill>
            <a:srgbClr val="FEECF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676275</xdr:colOff>
      <xdr:row>16</xdr:row>
      <xdr:rowOff>19050</xdr:rowOff>
    </xdr:from>
    <xdr:to>
      <xdr:col>10</xdr:col>
      <xdr:colOff>609600</xdr:colOff>
      <xdr:row>22</xdr:row>
      <xdr:rowOff>19050</xdr:rowOff>
    </xdr:to>
    <xdr:sp macro="" textlink="">
      <xdr:nvSpPr>
        <xdr:cNvPr id="61" name="Rectangle : coins arrondis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4486275" y="3067050"/>
          <a:ext cx="3743325" cy="1143000"/>
        </a:xfrm>
        <a:prstGeom prst="roundRect">
          <a:avLst/>
        </a:prstGeom>
        <a:solidFill>
          <a:srgbClr val="FEECFB"/>
        </a:solidFill>
        <a:ln>
          <a:solidFill>
            <a:srgbClr val="FEECF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736600</xdr:colOff>
          <xdr:row>8</xdr:row>
          <xdr:rowOff>127000</xdr:rowOff>
        </xdr:from>
        <xdr:to>
          <xdr:col>15</xdr:col>
          <xdr:colOff>298450</xdr:colOff>
          <xdr:row>13</xdr:row>
          <xdr:rowOff>146050</xdr:rowOff>
        </xdr:to>
        <xdr:sp macro="" textlink="">
          <xdr:nvSpPr>
            <xdr:cNvPr id="1052" name="btnModifierSupprimerNot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736600</xdr:colOff>
          <xdr:row>16</xdr:row>
          <xdr:rowOff>107950</xdr:rowOff>
        </xdr:from>
        <xdr:to>
          <xdr:col>15</xdr:col>
          <xdr:colOff>273050</xdr:colOff>
          <xdr:row>21</xdr:row>
          <xdr:rowOff>165100</xdr:rowOff>
        </xdr:to>
        <xdr:sp macro="" textlink="">
          <xdr:nvSpPr>
            <xdr:cNvPr id="1053" name="btnReinitialiser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50800</xdr:colOff>
          <xdr:row>8</xdr:row>
          <xdr:rowOff>133350</xdr:rowOff>
        </xdr:from>
        <xdr:to>
          <xdr:col>10</xdr:col>
          <xdr:colOff>400050</xdr:colOff>
          <xdr:row>13</xdr:row>
          <xdr:rowOff>165100</xdr:rowOff>
        </xdr:to>
        <xdr:sp macro="" textlink="">
          <xdr:nvSpPr>
            <xdr:cNvPr id="1054" name="btnAjouterNot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485775</xdr:colOff>
      <xdr:row>17</xdr:row>
      <xdr:rowOff>38099</xdr:rowOff>
    </xdr:from>
    <xdr:to>
      <xdr:col>16</xdr:col>
      <xdr:colOff>438150</xdr:colOff>
      <xdr:row>21</xdr:row>
      <xdr:rowOff>1056</xdr:rowOff>
    </xdr:to>
    <xdr:pic>
      <xdr:nvPicPr>
        <xdr:cNvPr id="21" name="Graphique 20" descr="Flèche en cercle avec un remplissage uni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915775" y="3276599"/>
          <a:ext cx="714375" cy="714375"/>
        </a:xfrm>
        <a:prstGeom prst="rect">
          <a:avLst/>
        </a:prstGeom>
      </xdr:spPr>
    </xdr:pic>
    <xdr:clientData/>
  </xdr:twoCellAnchor>
  <xdr:twoCellAnchor editAs="oneCell">
    <xdr:from>
      <xdr:col>6</xdr:col>
      <xdr:colOff>96507</xdr:colOff>
      <xdr:row>9</xdr:row>
      <xdr:rowOff>128491</xdr:rowOff>
    </xdr:from>
    <xdr:to>
      <xdr:col>6</xdr:col>
      <xdr:colOff>667737</xdr:colOff>
      <xdr:row>12</xdr:row>
      <xdr:rowOff>128222</xdr:rowOff>
    </xdr:to>
    <xdr:pic>
      <xdr:nvPicPr>
        <xdr:cNvPr id="23" name="Graphique 22" descr="Fermer avec un remplissage uni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2684090">
          <a:off x="4668507" y="1842991"/>
          <a:ext cx="571230" cy="5712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31750</xdr:colOff>
          <xdr:row>16</xdr:row>
          <xdr:rowOff>127000</xdr:rowOff>
        </xdr:from>
        <xdr:to>
          <xdr:col>10</xdr:col>
          <xdr:colOff>393700</xdr:colOff>
          <xdr:row>22</xdr:row>
          <xdr:rowOff>0</xdr:rowOff>
        </xdr:to>
        <xdr:sp macro="" textlink="">
          <xdr:nvSpPr>
            <xdr:cNvPr id="1055" name="btnAbsence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561975</xdr:colOff>
      <xdr:row>9</xdr:row>
      <xdr:rowOff>123824</xdr:rowOff>
    </xdr:from>
    <xdr:to>
      <xdr:col>16</xdr:col>
      <xdr:colOff>342900</xdr:colOff>
      <xdr:row>12</xdr:row>
      <xdr:rowOff>95250</xdr:rowOff>
    </xdr:to>
    <xdr:pic>
      <xdr:nvPicPr>
        <xdr:cNvPr id="25" name="Graphique 24" descr="Crayon avec un remplissage uni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991975" y="1838324"/>
          <a:ext cx="542925" cy="542925"/>
        </a:xfrm>
        <a:prstGeom prst="rect">
          <a:avLst/>
        </a:prstGeom>
      </xdr:spPr>
    </xdr:pic>
    <xdr:clientData/>
  </xdr:twoCellAnchor>
  <xdr:twoCellAnchor editAs="oneCell">
    <xdr:from>
      <xdr:col>6</xdr:col>
      <xdr:colOff>57149</xdr:colOff>
      <xdr:row>17</xdr:row>
      <xdr:rowOff>123825</xdr:rowOff>
    </xdr:from>
    <xdr:to>
      <xdr:col>6</xdr:col>
      <xdr:colOff>676274</xdr:colOff>
      <xdr:row>20</xdr:row>
      <xdr:rowOff>171449</xdr:rowOff>
    </xdr:to>
    <xdr:pic>
      <xdr:nvPicPr>
        <xdr:cNvPr id="27" name="Graphique 26" descr="Panneau d’interdiction avec un remplissage uni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49" y="3362325"/>
          <a:ext cx="619125" cy="619125"/>
        </a:xfrm>
        <a:prstGeom prst="rect">
          <a:avLst/>
        </a:prstGeom>
      </xdr:spPr>
    </xdr:pic>
    <xdr:clientData/>
  </xdr:twoCellAnchor>
  <xdr:twoCellAnchor editAs="oneCell">
    <xdr:from>
      <xdr:col>4</xdr:col>
      <xdr:colOff>133351</xdr:colOff>
      <xdr:row>0</xdr:row>
      <xdr:rowOff>132643</xdr:rowOff>
    </xdr:from>
    <xdr:to>
      <xdr:col>5</xdr:col>
      <xdr:colOff>638175</xdr:colOff>
      <xdr:row>3</xdr:row>
      <xdr:rowOff>178870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81351" y="132643"/>
          <a:ext cx="1266824" cy="617727"/>
        </a:xfrm>
        <a:prstGeom prst="rect">
          <a:avLst/>
        </a:prstGeom>
      </xdr:spPr>
    </xdr:pic>
    <xdr:clientData/>
  </xdr:twoCellAnchor>
  <xdr:twoCellAnchor editAs="oneCell">
    <xdr:from>
      <xdr:col>2</xdr:col>
      <xdr:colOff>742950</xdr:colOff>
      <xdr:row>0</xdr:row>
      <xdr:rowOff>66674</xdr:rowOff>
    </xdr:from>
    <xdr:to>
      <xdr:col>3</xdr:col>
      <xdr:colOff>914235</xdr:colOff>
      <xdr:row>5</xdr:row>
      <xdr:rowOff>9524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66950" y="66674"/>
          <a:ext cx="895350" cy="895350"/>
        </a:xfrm>
        <a:prstGeom prst="rect">
          <a:avLst/>
        </a:prstGeom>
      </xdr:spPr>
    </xdr:pic>
    <xdr:clientData/>
  </xdr:twoCellAnchor>
  <xdr:twoCellAnchor editAs="oneCell">
    <xdr:from>
      <xdr:col>17</xdr:col>
      <xdr:colOff>295275</xdr:colOff>
      <xdr:row>0</xdr:row>
      <xdr:rowOff>142876</xdr:rowOff>
    </xdr:from>
    <xdr:to>
      <xdr:col>19</xdr:col>
      <xdr:colOff>685799</xdr:colOff>
      <xdr:row>3</xdr:row>
      <xdr:rowOff>166876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142876"/>
          <a:ext cx="1914524" cy="595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723900</xdr:colOff>
      <xdr:row>0</xdr:row>
      <xdr:rowOff>161925</xdr:rowOff>
    </xdr:from>
    <xdr:to>
      <xdr:col>19</xdr:col>
      <xdr:colOff>735806</xdr:colOff>
      <xdr:row>4</xdr:row>
      <xdr:rowOff>142874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247900" y="161925"/>
          <a:ext cx="12965906" cy="742949"/>
        </a:xfrm>
        <a:prstGeom prst="roundRect">
          <a:avLst/>
        </a:prstGeom>
        <a:solidFill>
          <a:srgbClr val="FEECFB"/>
        </a:solidFill>
        <a:ln>
          <a:solidFill>
            <a:srgbClr val="FEECF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u="none">
              <a:solidFill>
                <a:srgbClr val="207EA0"/>
              </a:solidFill>
              <a:effectLst/>
              <a:latin typeface="+mn-lt"/>
              <a:ea typeface="+mn-ea"/>
              <a:cs typeface="+mn-cs"/>
            </a:rPr>
            <a:t>Tableau de bord</a:t>
          </a:r>
          <a:endParaRPr lang="fr-FR" sz="1800" u="none">
            <a:solidFill>
              <a:srgbClr val="207EA0"/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552450</xdr:colOff>
          <xdr:row>1</xdr:row>
          <xdr:rowOff>127000</xdr:rowOff>
        </xdr:from>
        <xdr:to>
          <xdr:col>19</xdr:col>
          <xdr:colOff>488950</xdr:colOff>
          <xdr:row>4</xdr:row>
          <xdr:rowOff>6350</xdr:rowOff>
        </xdr:to>
        <xdr:sp macro="" textlink="">
          <xdr:nvSpPr>
            <xdr:cNvPr id="5122" name="btnRetourMenu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514350</xdr:colOff>
      <xdr:row>31</xdr:row>
      <xdr:rowOff>95250</xdr:rowOff>
    </xdr:from>
    <xdr:to>
      <xdr:col>19</xdr:col>
      <xdr:colOff>314326</xdr:colOff>
      <xdr:row>48</xdr:row>
      <xdr:rowOff>0</xdr:rowOff>
    </xdr:to>
    <xdr:sp macro="" textlink="">
      <xdr:nvSpPr>
        <xdr:cNvPr id="2" name="Organigramme : Alternativ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658350" y="6000750"/>
          <a:ext cx="5133976" cy="3143250"/>
        </a:xfrm>
        <a:prstGeom prst="flowChartAlternateProcess">
          <a:avLst/>
        </a:prstGeom>
        <a:solidFill>
          <a:srgbClr val="FEECFB"/>
        </a:solidFill>
        <a:ln>
          <a:solidFill>
            <a:srgbClr val="FEECF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400" b="1" i="0" u="sng" baseline="0">
              <a:solidFill>
                <a:srgbClr val="207EA0"/>
              </a:solidFill>
              <a:effectLst/>
              <a:latin typeface="+mn-lt"/>
              <a:ea typeface="+mn-ea"/>
              <a:cs typeface="+mn-cs"/>
            </a:rPr>
            <a:t>Moyennes des ressources par compétences selon le semestre</a:t>
          </a:r>
          <a:endParaRPr lang="fr-FR" sz="1100"/>
        </a:p>
      </xdr:txBody>
    </xdr:sp>
    <xdr:clientData/>
  </xdr:twoCellAnchor>
  <xdr:twoCellAnchor>
    <xdr:from>
      <xdr:col>13</xdr:col>
      <xdr:colOff>38100</xdr:colOff>
      <xdr:row>34</xdr:row>
      <xdr:rowOff>28575</xdr:rowOff>
    </xdr:from>
    <xdr:to>
      <xdr:col>19</xdr:col>
      <xdr:colOff>38100</xdr:colOff>
      <xdr:row>47</xdr:row>
      <xdr:rowOff>47625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523875</xdr:colOff>
      <xdr:row>43</xdr:row>
      <xdr:rowOff>0</xdr:rowOff>
    </xdr:from>
    <xdr:to>
      <xdr:col>10</xdr:col>
      <xdr:colOff>323851</xdr:colOff>
      <xdr:row>59</xdr:row>
      <xdr:rowOff>95250</xdr:rowOff>
    </xdr:to>
    <xdr:sp macro="" textlink="">
      <xdr:nvSpPr>
        <xdr:cNvPr id="10" name="Organigramme : Alternativ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2809875" y="8191500"/>
          <a:ext cx="5133976" cy="3143250"/>
        </a:xfrm>
        <a:prstGeom prst="flowChartAlternateProcess">
          <a:avLst/>
        </a:prstGeom>
        <a:solidFill>
          <a:srgbClr val="FEECFB"/>
        </a:solidFill>
        <a:ln>
          <a:solidFill>
            <a:srgbClr val="FEECF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400" b="1" i="0" u="sng" baseline="0">
              <a:solidFill>
                <a:srgbClr val="207EA0"/>
              </a:solidFill>
              <a:effectLst/>
              <a:latin typeface="+mn-lt"/>
              <a:ea typeface="+mn-ea"/>
              <a:cs typeface="+mn-cs"/>
            </a:rPr>
            <a:t>Moyennes des SAE par compétences selon le semestre</a:t>
          </a:r>
          <a:endParaRPr lang="fr-FR" sz="1400" b="1" u="sng">
            <a:solidFill>
              <a:srgbClr val="207EA0"/>
            </a:solidFill>
            <a:effectLst/>
          </a:endParaRPr>
        </a:p>
        <a:p>
          <a:pPr algn="l"/>
          <a:endParaRPr lang="fr-FR" sz="1100"/>
        </a:p>
      </xdr:txBody>
    </xdr:sp>
    <xdr:clientData/>
  </xdr:twoCellAnchor>
  <xdr:twoCellAnchor>
    <xdr:from>
      <xdr:col>4</xdr:col>
      <xdr:colOff>38100</xdr:colOff>
      <xdr:row>45</xdr:row>
      <xdr:rowOff>114300</xdr:rowOff>
    </xdr:from>
    <xdr:to>
      <xdr:col>10</xdr:col>
      <xdr:colOff>38100</xdr:colOff>
      <xdr:row>58</xdr:row>
      <xdr:rowOff>152400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523875</xdr:colOff>
      <xdr:row>24</xdr:row>
      <xdr:rowOff>142875</xdr:rowOff>
    </xdr:from>
    <xdr:to>
      <xdr:col>10</xdr:col>
      <xdr:colOff>323851</xdr:colOff>
      <xdr:row>41</xdr:row>
      <xdr:rowOff>47625</xdr:rowOff>
    </xdr:to>
    <xdr:sp macro="" textlink="">
      <xdr:nvSpPr>
        <xdr:cNvPr id="12" name="Organigramme : Alternativ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2809875" y="4714875"/>
          <a:ext cx="5133976" cy="3143250"/>
        </a:xfrm>
        <a:prstGeom prst="flowChartAlternateProcess">
          <a:avLst/>
        </a:prstGeom>
        <a:solidFill>
          <a:srgbClr val="FEECFB"/>
        </a:solidFill>
        <a:ln>
          <a:solidFill>
            <a:srgbClr val="FEECF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400" b="1" i="0" u="sng" baseline="0">
              <a:solidFill>
                <a:srgbClr val="207EA0"/>
              </a:solidFill>
              <a:effectLst/>
              <a:latin typeface="+mn-lt"/>
              <a:ea typeface="+mn-ea"/>
              <a:cs typeface="+mn-cs"/>
            </a:rPr>
            <a:t>Moyennes des compétences selon le semestre</a:t>
          </a:r>
          <a:endParaRPr lang="fr-FR" sz="1100"/>
        </a:p>
      </xdr:txBody>
    </xdr:sp>
    <xdr:clientData/>
  </xdr:twoCellAnchor>
  <xdr:twoCellAnchor>
    <xdr:from>
      <xdr:col>4</xdr:col>
      <xdr:colOff>47625</xdr:colOff>
      <xdr:row>27</xdr:row>
      <xdr:rowOff>66675</xdr:rowOff>
    </xdr:from>
    <xdr:to>
      <xdr:col>10</xdr:col>
      <xdr:colOff>47625</xdr:colOff>
      <xdr:row>40</xdr:row>
      <xdr:rowOff>66675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514350</xdr:colOff>
      <xdr:row>13</xdr:row>
      <xdr:rowOff>57150</xdr:rowOff>
    </xdr:from>
    <xdr:to>
      <xdr:col>19</xdr:col>
      <xdr:colOff>314326</xdr:colOff>
      <xdr:row>29</xdr:row>
      <xdr:rowOff>152400</xdr:rowOff>
    </xdr:to>
    <xdr:sp macro="" textlink="">
      <xdr:nvSpPr>
        <xdr:cNvPr id="16" name="Organigramme : Alternativ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9658350" y="2533650"/>
          <a:ext cx="5133976" cy="3143250"/>
        </a:xfrm>
        <a:prstGeom prst="flowChartAlternateProcess">
          <a:avLst/>
        </a:prstGeom>
        <a:solidFill>
          <a:srgbClr val="FEECFB"/>
        </a:solidFill>
        <a:ln>
          <a:solidFill>
            <a:srgbClr val="FEECF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400" b="1" i="0" u="sng" baseline="0">
              <a:solidFill>
                <a:srgbClr val="207EA0"/>
              </a:solidFill>
              <a:effectLst/>
              <a:latin typeface="+mn-lt"/>
              <a:ea typeface="+mn-ea"/>
              <a:cs typeface="+mn-cs"/>
            </a:rPr>
            <a:t>Nombre de blocs selon la note</a:t>
          </a:r>
          <a:endParaRPr lang="fr-FR" sz="1100"/>
        </a:p>
      </xdr:txBody>
    </xdr:sp>
    <xdr:clientData/>
  </xdr:twoCellAnchor>
  <xdr:twoCellAnchor>
    <xdr:from>
      <xdr:col>3</xdr:col>
      <xdr:colOff>523875</xdr:colOff>
      <xdr:row>6</xdr:row>
      <xdr:rowOff>114300</xdr:rowOff>
    </xdr:from>
    <xdr:to>
      <xdr:col>10</xdr:col>
      <xdr:colOff>323851</xdr:colOff>
      <xdr:row>23</xdr:row>
      <xdr:rowOff>19050</xdr:rowOff>
    </xdr:to>
    <xdr:sp macro="" textlink="">
      <xdr:nvSpPr>
        <xdr:cNvPr id="20" name="Organigramme : Alternativ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2809875" y="1257300"/>
          <a:ext cx="5133976" cy="3143250"/>
        </a:xfrm>
        <a:prstGeom prst="flowChartAlternateProcess">
          <a:avLst/>
        </a:prstGeom>
        <a:solidFill>
          <a:srgbClr val="FEECFB"/>
        </a:solidFill>
        <a:ln>
          <a:solidFill>
            <a:srgbClr val="FEECF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400" b="1" i="0" u="sng" baseline="0">
              <a:solidFill>
                <a:srgbClr val="207EA0"/>
              </a:solidFill>
              <a:effectLst/>
              <a:latin typeface="+mn-lt"/>
              <a:ea typeface="+mn-ea"/>
              <a:cs typeface="+mn-cs"/>
            </a:rPr>
            <a:t>Moyennes des compétences annuel</a:t>
          </a:r>
          <a:endParaRPr lang="fr-FR" sz="1100"/>
        </a:p>
      </xdr:txBody>
    </xdr:sp>
    <xdr:clientData/>
  </xdr:twoCellAnchor>
  <xdr:twoCellAnchor>
    <xdr:from>
      <xdr:col>4</xdr:col>
      <xdr:colOff>38100</xdr:colOff>
      <xdr:row>9</xdr:row>
      <xdr:rowOff>38100</xdr:rowOff>
    </xdr:from>
    <xdr:to>
      <xdr:col>10</xdr:col>
      <xdr:colOff>38100</xdr:colOff>
      <xdr:row>22</xdr:row>
      <xdr:rowOff>9525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28575</xdr:colOff>
      <xdr:row>15</xdr:row>
      <xdr:rowOff>180976</xdr:rowOff>
    </xdr:from>
    <xdr:to>
      <xdr:col>19</xdr:col>
      <xdr:colOff>28575</xdr:colOff>
      <xdr:row>28</xdr:row>
      <xdr:rowOff>114300</xdr:rowOff>
    </xdr:to>
    <xdr:graphicFrame macro="">
      <xdr:nvGraphicFramePr>
        <xdr:cNvPr id="26" name="Graphiqu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1543050</xdr:colOff>
      <xdr:row>0</xdr:row>
      <xdr:rowOff>123825</xdr:rowOff>
    </xdr:from>
    <xdr:to>
      <xdr:col>7</xdr:col>
      <xdr:colOff>1316831</xdr:colOff>
      <xdr:row>3</xdr:row>
      <xdr:rowOff>95249</xdr:rowOff>
    </xdr:to>
    <xdr:sp macro="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305050" y="123825"/>
          <a:ext cx="12965906" cy="742949"/>
        </a:xfrm>
        <a:prstGeom prst="roundRect">
          <a:avLst/>
        </a:prstGeom>
        <a:solidFill>
          <a:srgbClr val="FEECFB"/>
        </a:solidFill>
        <a:ln>
          <a:solidFill>
            <a:srgbClr val="FEECF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u="none">
              <a:solidFill>
                <a:srgbClr val="207EA0"/>
              </a:solidFill>
              <a:effectLst/>
              <a:latin typeface="+mn-lt"/>
              <a:ea typeface="+mn-ea"/>
              <a:cs typeface="+mn-cs"/>
            </a:rPr>
            <a:t>Mon année</a:t>
          </a:r>
          <a:endParaRPr lang="fr-FR" sz="1800" u="none">
            <a:solidFill>
              <a:srgbClr val="207EA0"/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4013200</xdr:colOff>
          <xdr:row>1</xdr:row>
          <xdr:rowOff>12700</xdr:rowOff>
        </xdr:from>
        <xdr:to>
          <xdr:col>7</xdr:col>
          <xdr:colOff>882650</xdr:colOff>
          <xdr:row>2</xdr:row>
          <xdr:rowOff>190500</xdr:rowOff>
        </xdr:to>
        <xdr:sp macro="" textlink="">
          <xdr:nvSpPr>
            <xdr:cNvPr id="2050" name="btnRetourMenu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1231446</xdr:colOff>
      <xdr:row>0</xdr:row>
      <xdr:rowOff>129267</xdr:rowOff>
    </xdr:from>
    <xdr:to>
      <xdr:col>12</xdr:col>
      <xdr:colOff>455499</xdr:colOff>
      <xdr:row>2</xdr:row>
      <xdr:rowOff>257175</xdr:rowOff>
    </xdr:to>
    <xdr:sp macro="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755446" y="129267"/>
          <a:ext cx="12187578" cy="718458"/>
        </a:xfrm>
        <a:prstGeom prst="roundRect">
          <a:avLst/>
        </a:prstGeom>
        <a:solidFill>
          <a:srgbClr val="FEECFB"/>
        </a:solidFill>
        <a:ln>
          <a:solidFill>
            <a:srgbClr val="FEECF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u="none">
              <a:solidFill>
                <a:srgbClr val="207EA0"/>
              </a:solidFill>
              <a:effectLst/>
              <a:latin typeface="+mn-lt"/>
              <a:ea typeface="+mn-ea"/>
              <a:cs typeface="+mn-cs"/>
            </a:rPr>
            <a:t>Mes</a:t>
          </a:r>
          <a:r>
            <a:rPr lang="fr-FR" sz="1800" b="1" u="none" baseline="0">
              <a:solidFill>
                <a:srgbClr val="207EA0"/>
              </a:solidFill>
              <a:effectLst/>
              <a:latin typeface="+mn-lt"/>
              <a:ea typeface="+mn-ea"/>
              <a:cs typeface="+mn-cs"/>
            </a:rPr>
            <a:t> notes</a:t>
          </a:r>
          <a:endParaRPr lang="fr-FR" sz="1800" u="none">
            <a:solidFill>
              <a:srgbClr val="207EA0"/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723900</xdr:colOff>
          <xdr:row>0</xdr:row>
          <xdr:rowOff>285750</xdr:rowOff>
        </xdr:from>
        <xdr:to>
          <xdr:col>12</xdr:col>
          <xdr:colOff>184150</xdr:colOff>
          <xdr:row>2</xdr:row>
          <xdr:rowOff>133350</xdr:rowOff>
        </xdr:to>
        <xdr:sp macro="" textlink="">
          <xdr:nvSpPr>
            <xdr:cNvPr id="3074" name="btnRetourMenu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6</xdr:row>
      <xdr:rowOff>9525</xdr:rowOff>
    </xdr:from>
    <xdr:to>
      <xdr:col>15</xdr:col>
      <xdr:colOff>85272</xdr:colOff>
      <xdr:row>42</xdr:row>
      <xdr:rowOff>129268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553575" y="1162050"/>
          <a:ext cx="6162222" cy="7196818"/>
        </a:xfrm>
        <a:prstGeom prst="rect">
          <a:avLst/>
        </a:prstGeom>
        <a:solidFill>
          <a:schemeClr val="bg1"/>
        </a:solidFill>
        <a:ln w="57150">
          <a:solidFill>
            <a:schemeClr val="accent6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57150</xdr:colOff>
      <xdr:row>6</xdr:row>
      <xdr:rowOff>38100</xdr:rowOff>
    </xdr:from>
    <xdr:to>
      <xdr:col>15</xdr:col>
      <xdr:colOff>57150</xdr:colOff>
      <xdr:row>10</xdr:row>
      <xdr:rowOff>114300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591675" y="1190625"/>
          <a:ext cx="6096000" cy="847725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800" b="1">
              <a:solidFill>
                <a:sysClr val="windowText" lastClr="000000"/>
              </a:solidFill>
            </a:rPr>
            <a:t>A SAVOIR</a:t>
          </a:r>
        </a:p>
      </xdr:txBody>
    </xdr:sp>
    <xdr:clientData/>
  </xdr:twoCellAnchor>
  <xdr:twoCellAnchor>
    <xdr:from>
      <xdr:col>7</xdr:col>
      <xdr:colOff>83911</xdr:colOff>
      <xdr:row>17</xdr:row>
      <xdr:rowOff>83910</xdr:rowOff>
    </xdr:from>
    <xdr:to>
      <xdr:col>14</xdr:col>
      <xdr:colOff>685800</xdr:colOff>
      <xdr:row>30</xdr:row>
      <xdr:rowOff>13606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9618436" y="3341460"/>
          <a:ext cx="5935889" cy="2615746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Conditions de passage en deuxième année :</a:t>
          </a:r>
        </a:p>
        <a:p>
          <a:pPr algn="l"/>
          <a:endParaRPr lang="fr-FR" sz="1400" b="1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fr-FR" sz="14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</a:t>
          </a:r>
          <a:r>
            <a:rPr lang="fr-FR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FR" sz="14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Moyenne annuelle supérieure ou égale à 10 dans au moins deux compétences</a:t>
          </a:r>
        </a:p>
        <a:p>
          <a:pPr algn="l"/>
          <a:endParaRPr lang="fr-FR" sz="14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fr-FR" sz="14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Moyenne annuelle strictement inférieure à 8 dans aucune compétence</a:t>
          </a:r>
        </a:p>
        <a:p>
          <a:pPr algn="l"/>
          <a:endParaRPr lang="fr-FR" sz="14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fr-FR" sz="14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Attention, le passage en deuxième année ne signifie pas que le niveau 1 de toutes les compétences est atteint. Le niveau 1 n'est atteint que pour les compétences dont la moyenne est supérieure ou égale à 10. </a:t>
          </a:r>
          <a:endParaRPr lang="fr-FR" sz="14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57150</xdr:colOff>
      <xdr:row>29</xdr:row>
      <xdr:rowOff>126093</xdr:rowOff>
    </xdr:from>
    <xdr:to>
      <xdr:col>15</xdr:col>
      <xdr:colOff>38100</xdr:colOff>
      <xdr:row>41</xdr:row>
      <xdr:rowOff>66675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9591675" y="5879193"/>
          <a:ext cx="6076950" cy="222658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4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Gestion des Absences</a:t>
          </a:r>
          <a:r>
            <a:rPr lang="fr-FR" sz="14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4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4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- 1 absence est comptabilisée + ABI en cas d’évaluation ou de travail à rendre (calcul des moyennes bloqué. Seul le jury de fin d’année peut modifier le ABI en 0 par exemple.)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4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4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fr-FR" sz="14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0,2 point en moins par absence sur la moyenne de chaque UE dès la 6</a:t>
          </a:r>
          <a:r>
            <a:rPr lang="fr-FR" sz="1400" baseline="30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ème</a:t>
          </a:r>
          <a:r>
            <a:rPr lang="fr-FR" sz="14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absence.</a:t>
          </a:r>
        </a:p>
        <a:p>
          <a:pPr algn="l"/>
          <a:endParaRPr lang="fr-FR" sz="14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10</xdr:col>
      <xdr:colOff>430892</xdr:colOff>
      <xdr:row>10</xdr:row>
      <xdr:rowOff>76200</xdr:rowOff>
    </xdr:from>
    <xdr:to>
      <xdr:col>11</xdr:col>
      <xdr:colOff>546695</xdr:colOff>
      <xdr:row>15</xdr:row>
      <xdr:rowOff>0</xdr:rowOff>
    </xdr:to>
    <xdr:pic>
      <xdr:nvPicPr>
        <xdr:cNvPr id="6" name="Graphique 5" descr="Avertissement avec un remplissage uni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251417" y="2000250"/>
          <a:ext cx="877803" cy="876300"/>
        </a:xfrm>
        <a:prstGeom prst="rect">
          <a:avLst/>
        </a:prstGeom>
      </xdr:spPr>
    </xdr:pic>
    <xdr:clientData/>
  </xdr:twoCellAnchor>
  <xdr:twoCellAnchor>
    <xdr:from>
      <xdr:col>3</xdr:col>
      <xdr:colOff>361950</xdr:colOff>
      <xdr:row>0</xdr:row>
      <xdr:rowOff>114300</xdr:rowOff>
    </xdr:from>
    <xdr:to>
      <xdr:col>13</xdr:col>
      <xdr:colOff>729003</xdr:colOff>
      <xdr:row>4</xdr:row>
      <xdr:rowOff>70758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2647950" y="114300"/>
          <a:ext cx="12187578" cy="718458"/>
        </a:xfrm>
        <a:prstGeom prst="roundRect">
          <a:avLst/>
        </a:prstGeom>
        <a:solidFill>
          <a:srgbClr val="FEECFB"/>
        </a:solidFill>
        <a:ln>
          <a:solidFill>
            <a:srgbClr val="FEECF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u="none">
              <a:solidFill>
                <a:srgbClr val="207EA0"/>
              </a:solidFill>
              <a:effectLst/>
              <a:latin typeface="+mn-lt"/>
              <a:ea typeface="+mn-ea"/>
              <a:cs typeface="+mn-cs"/>
            </a:rPr>
            <a:t>Consignes</a:t>
          </a:r>
          <a:endParaRPr lang="fr-FR" sz="1800" u="none">
            <a:solidFill>
              <a:srgbClr val="207EA0"/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590550</xdr:colOff>
          <xdr:row>1</xdr:row>
          <xdr:rowOff>76200</xdr:rowOff>
        </xdr:from>
        <xdr:to>
          <xdr:col>13</xdr:col>
          <xdr:colOff>527050</xdr:colOff>
          <xdr:row>3</xdr:row>
          <xdr:rowOff>139700</xdr:rowOff>
        </xdr:to>
        <xdr:sp macro="" textlink="">
          <xdr:nvSpPr>
            <xdr:cNvPr id="4098" name="btnRetourMenu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0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0.emf"/><Relationship Id="rId4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1.emf"/><Relationship Id="rId4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2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4DA0C-2D5E-4DFE-A032-F8AA1053082B}">
  <sheetPr codeName="Feuil6"/>
  <dimension ref="D6:G6"/>
  <sheetViews>
    <sheetView showGridLines="0" tabSelected="1" topLeftCell="B1" zoomScale="69" zoomScaleNormal="77" workbookViewId="0">
      <selection activeCell="E15" sqref="E15"/>
    </sheetView>
  </sheetViews>
  <sheetFormatPr baseColWidth="10" defaultColWidth="11.453125" defaultRowHeight="14.5" x14ac:dyDescent="0.35"/>
  <cols>
    <col min="1" max="3" width="11.453125" style="1"/>
    <col min="4" max="4" width="13.1796875" style="1" customWidth="1"/>
    <col min="5" max="6" width="11.453125" style="1"/>
    <col min="7" max="7" width="16.26953125" style="1" bestFit="1" customWidth="1"/>
    <col min="8" max="16384" width="11.453125" style="1"/>
  </cols>
  <sheetData>
    <row r="6" spans="4:7" ht="18.5" x14ac:dyDescent="0.45">
      <c r="D6" s="90"/>
      <c r="E6" s="90"/>
      <c r="F6" s="89"/>
      <c r="G6" s="89"/>
    </row>
  </sheetData>
  <mergeCells count="2">
    <mergeCell ref="F6:G6"/>
    <mergeCell ref="D6:E6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5" r:id="rId4" name="btnAbsence">
          <controlPr defaultSize="0" autoLine="0" r:id="rId5">
            <anchor moveWithCells="1">
              <from>
                <xdr:col>7</xdr:col>
                <xdr:colOff>31750</xdr:colOff>
                <xdr:row>16</xdr:row>
                <xdr:rowOff>127000</xdr:rowOff>
              </from>
              <to>
                <xdr:col>10</xdr:col>
                <xdr:colOff>393700</xdr:colOff>
                <xdr:row>22</xdr:row>
                <xdr:rowOff>0</xdr:rowOff>
              </to>
            </anchor>
          </controlPr>
        </control>
      </mc:Choice>
      <mc:Fallback>
        <control shapeId="1055" r:id="rId4" name="btnAbsence"/>
      </mc:Fallback>
    </mc:AlternateContent>
    <mc:AlternateContent xmlns:mc="http://schemas.openxmlformats.org/markup-compatibility/2006">
      <mc:Choice Requires="x14">
        <control shapeId="1054" r:id="rId6" name="btnAjouterNote">
          <controlPr defaultSize="0" autoLine="0" r:id="rId7">
            <anchor moveWithCells="1">
              <from>
                <xdr:col>7</xdr:col>
                <xdr:colOff>50800</xdr:colOff>
                <xdr:row>8</xdr:row>
                <xdr:rowOff>133350</xdr:rowOff>
              </from>
              <to>
                <xdr:col>10</xdr:col>
                <xdr:colOff>400050</xdr:colOff>
                <xdr:row>13</xdr:row>
                <xdr:rowOff>165100</xdr:rowOff>
              </to>
            </anchor>
          </controlPr>
        </control>
      </mc:Choice>
      <mc:Fallback>
        <control shapeId="1054" r:id="rId6" name="btnAjouterNote"/>
      </mc:Fallback>
    </mc:AlternateContent>
    <mc:AlternateContent xmlns:mc="http://schemas.openxmlformats.org/markup-compatibility/2006">
      <mc:Choice Requires="x14">
        <control shapeId="1053" r:id="rId8" name="btnReinitialiser">
          <controlPr defaultSize="0" autoLine="0" r:id="rId9">
            <anchor moveWithCells="1">
              <from>
                <xdr:col>11</xdr:col>
                <xdr:colOff>736600</xdr:colOff>
                <xdr:row>16</xdr:row>
                <xdr:rowOff>107950</xdr:rowOff>
              </from>
              <to>
                <xdr:col>15</xdr:col>
                <xdr:colOff>273050</xdr:colOff>
                <xdr:row>21</xdr:row>
                <xdr:rowOff>165100</xdr:rowOff>
              </to>
            </anchor>
          </controlPr>
        </control>
      </mc:Choice>
      <mc:Fallback>
        <control shapeId="1053" r:id="rId8" name="btnReinitialiser"/>
      </mc:Fallback>
    </mc:AlternateContent>
    <mc:AlternateContent xmlns:mc="http://schemas.openxmlformats.org/markup-compatibility/2006">
      <mc:Choice Requires="x14">
        <control shapeId="1052" r:id="rId10" name="btnModifierSupprimerNote">
          <controlPr defaultSize="0" autoLine="0" r:id="rId11">
            <anchor moveWithCells="1">
              <from>
                <xdr:col>11</xdr:col>
                <xdr:colOff>736600</xdr:colOff>
                <xdr:row>8</xdr:row>
                <xdr:rowOff>127000</xdr:rowOff>
              </from>
              <to>
                <xdr:col>15</xdr:col>
                <xdr:colOff>298450</xdr:colOff>
                <xdr:row>13</xdr:row>
                <xdr:rowOff>146050</xdr:rowOff>
              </to>
            </anchor>
          </controlPr>
        </control>
      </mc:Choice>
      <mc:Fallback>
        <control shapeId="1052" r:id="rId10" name="btnModifierSupprimerNote"/>
      </mc:Fallback>
    </mc:AlternateContent>
    <mc:AlternateContent xmlns:mc="http://schemas.openxmlformats.org/markup-compatibility/2006">
      <mc:Choice Requires="x14">
        <control shapeId="1036" r:id="rId12" name="btnConsignes">
          <controlPr defaultSize="0" autoLine="0" r:id="rId13">
            <anchor moveWithCells="1">
              <from>
                <xdr:col>14</xdr:col>
                <xdr:colOff>19050</xdr:colOff>
                <xdr:row>30</xdr:row>
                <xdr:rowOff>12700</xdr:rowOff>
              </from>
              <to>
                <xdr:col>16</xdr:col>
                <xdr:colOff>241300</xdr:colOff>
                <xdr:row>32</xdr:row>
                <xdr:rowOff>82550</xdr:rowOff>
              </to>
            </anchor>
          </controlPr>
        </control>
      </mc:Choice>
      <mc:Fallback>
        <control shapeId="1036" r:id="rId12" name="btnConsignes"/>
      </mc:Fallback>
    </mc:AlternateContent>
    <mc:AlternateContent xmlns:mc="http://schemas.openxmlformats.org/markup-compatibility/2006">
      <mc:Choice Requires="x14">
        <control shapeId="1035" r:id="rId14" name="btnNotes">
          <controlPr defaultSize="0" autoLine="0" r:id="rId15">
            <anchor moveWithCells="1">
              <from>
                <xdr:col>11</xdr:col>
                <xdr:colOff>279400</xdr:colOff>
                <xdr:row>30</xdr:row>
                <xdr:rowOff>12700</xdr:rowOff>
              </from>
              <to>
                <xdr:col>13</xdr:col>
                <xdr:colOff>501650</xdr:colOff>
                <xdr:row>32</xdr:row>
                <xdr:rowOff>82550</xdr:rowOff>
              </to>
            </anchor>
          </controlPr>
        </control>
      </mc:Choice>
      <mc:Fallback>
        <control shapeId="1035" r:id="rId14" name="btnNotes"/>
      </mc:Fallback>
    </mc:AlternateContent>
    <mc:AlternateContent xmlns:mc="http://schemas.openxmlformats.org/markup-compatibility/2006">
      <mc:Choice Requires="x14">
        <control shapeId="1034" r:id="rId16" name="btnResultats">
          <controlPr defaultSize="0" autoLine="0" r:id="rId17">
            <anchor moveWithCells="1">
              <from>
                <xdr:col>8</xdr:col>
                <xdr:colOff>501650</xdr:colOff>
                <xdr:row>30</xdr:row>
                <xdr:rowOff>12700</xdr:rowOff>
              </from>
              <to>
                <xdr:col>10</xdr:col>
                <xdr:colOff>730250</xdr:colOff>
                <xdr:row>32</xdr:row>
                <xdr:rowOff>82550</xdr:rowOff>
              </to>
            </anchor>
          </controlPr>
        </control>
      </mc:Choice>
      <mc:Fallback>
        <control shapeId="1034" r:id="rId16" name="btnResultats"/>
      </mc:Fallback>
    </mc:AlternateContent>
    <mc:AlternateContent xmlns:mc="http://schemas.openxmlformats.org/markup-compatibility/2006">
      <mc:Choice Requires="x14">
        <control shapeId="1033" r:id="rId18" name="btnTableauDeBord">
          <controlPr defaultSize="0" autoLine="0" r:id="rId19">
            <anchor moveWithCells="1">
              <from>
                <xdr:col>6</xdr:col>
                <xdr:colOff>171450</xdr:colOff>
                <xdr:row>30</xdr:row>
                <xdr:rowOff>12700</xdr:rowOff>
              </from>
              <to>
                <xdr:col>8</xdr:col>
                <xdr:colOff>57150</xdr:colOff>
                <xdr:row>32</xdr:row>
                <xdr:rowOff>95250</xdr:rowOff>
              </to>
            </anchor>
          </controlPr>
        </control>
      </mc:Choice>
      <mc:Fallback>
        <control shapeId="1033" r:id="rId18" name="btnTableauDeBor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83201-C8A6-4765-8F3B-DEF09AEA4D0F}">
  <sheetPr codeName="Feuil4"/>
  <dimension ref="N8:S11"/>
  <sheetViews>
    <sheetView zoomScale="66" zoomScaleNormal="70" workbookViewId="0">
      <selection activeCell="L21" sqref="L21"/>
    </sheetView>
  </sheetViews>
  <sheetFormatPr baseColWidth="10" defaultColWidth="11.453125" defaultRowHeight="14.5" x14ac:dyDescent="0.35"/>
  <cols>
    <col min="1" max="16384" width="11.453125" style="1"/>
  </cols>
  <sheetData>
    <row r="8" spans="14:19" x14ac:dyDescent="0.35">
      <c r="N8" s="91" t="str">
        <f>IF(COUNTIF('Mon année'!H13:H15,"Moyenne bloquée")&gt;0,"Vous n'êtes pas admis en deuxième année",IF(AND(COUNTIF('Mon année'!H13:H15,"&gt;=10")&gt;=2,COUNTIF('Mon année'!H13:H15,"&lt;8")=0),"Vous passez en deuxième année","Vous n'êtes pas admis en deuxième année"))</f>
        <v>Vous passez en deuxième année</v>
      </c>
      <c r="O8" s="91"/>
      <c r="P8" s="91"/>
      <c r="Q8" s="91"/>
      <c r="R8" s="91"/>
      <c r="S8" s="91"/>
    </row>
    <row r="9" spans="14:19" x14ac:dyDescent="0.35">
      <c r="N9" s="91"/>
      <c r="O9" s="91"/>
      <c r="P9" s="91"/>
      <c r="Q9" s="91"/>
      <c r="R9" s="91"/>
      <c r="S9" s="91"/>
    </row>
    <row r="10" spans="14:19" x14ac:dyDescent="0.35">
      <c r="N10" s="91"/>
      <c r="O10" s="91"/>
      <c r="P10" s="91"/>
      <c r="Q10" s="91"/>
      <c r="R10" s="91"/>
      <c r="S10" s="91"/>
    </row>
    <row r="11" spans="14:19" x14ac:dyDescent="0.35">
      <c r="N11" s="91"/>
      <c r="O11" s="91"/>
      <c r="P11" s="91"/>
      <c r="Q11" s="91"/>
      <c r="R11" s="91"/>
      <c r="S11" s="91"/>
    </row>
  </sheetData>
  <mergeCells count="1">
    <mergeCell ref="N8:S11"/>
  </mergeCells>
  <conditionalFormatting sqref="N8:S11">
    <cfRule type="containsText" dxfId="10" priority="1" operator="containsText" text="Vous n'êtes pas admis en deuxième année">
      <formula>NOT(ISERROR(SEARCH("Vous n'êtes pas admis en deuxième année",N8)))</formula>
    </cfRule>
    <cfRule type="containsText" dxfId="9" priority="2" operator="containsText" text="Vous passez en deuxième année">
      <formula>NOT(ISERROR(SEARCH("Vous passez en deuxième année",N8)))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btnRetourMenu">
          <controlPr defaultSize="0" autoLine="0" r:id="rId4">
            <anchor moveWithCells="1">
              <from>
                <xdr:col>17</xdr:col>
                <xdr:colOff>552450</xdr:colOff>
                <xdr:row>1</xdr:row>
                <xdr:rowOff>127000</xdr:rowOff>
              </from>
              <to>
                <xdr:col>19</xdr:col>
                <xdr:colOff>488950</xdr:colOff>
                <xdr:row>4</xdr:row>
                <xdr:rowOff>6350</xdr:rowOff>
              </to>
            </anchor>
          </controlPr>
        </control>
      </mc:Choice>
      <mc:Fallback>
        <control shapeId="5122" r:id="rId3" name="btnRetour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DB168-374C-4272-8E45-53E9AC5DBFE8}">
  <sheetPr codeName="Feuil3"/>
  <dimension ref="C5:H25"/>
  <sheetViews>
    <sheetView showGridLines="0" zoomScale="63" zoomScaleNormal="67" workbookViewId="0">
      <selection activeCell="G22" sqref="G22"/>
    </sheetView>
  </sheetViews>
  <sheetFormatPr baseColWidth="10" defaultColWidth="11.453125" defaultRowHeight="20.25" customHeight="1" x14ac:dyDescent="0.35"/>
  <cols>
    <col min="1" max="1" width="7" style="1" customWidth="1"/>
    <col min="2" max="2" width="7.54296875" style="1" customWidth="1"/>
    <col min="3" max="3" width="76.54296875" style="1" bestFit="1" customWidth="1"/>
    <col min="4" max="5" width="17.453125" style="1" bestFit="1" customWidth="1"/>
    <col min="6" max="6" width="11.453125" style="1"/>
    <col min="7" max="7" width="66.81640625" style="1" bestFit="1" customWidth="1"/>
    <col min="8" max="8" width="49.1796875" style="1" bestFit="1" customWidth="1"/>
    <col min="9" max="16384" width="11.453125" style="1"/>
  </cols>
  <sheetData>
    <row r="5" spans="3:8" ht="15" customHeight="1" thickBot="1" x14ac:dyDescent="0.4"/>
    <row r="6" spans="3:8" ht="20.25" customHeight="1" thickBot="1" x14ac:dyDescent="0.55000000000000004">
      <c r="D6" s="2" t="s">
        <v>0</v>
      </c>
      <c r="E6" s="3" t="s">
        <v>1</v>
      </c>
      <c r="H6" s="8" t="s">
        <v>55</v>
      </c>
    </row>
    <row r="7" spans="3:8" ht="20.25" customHeight="1" x14ac:dyDescent="0.35">
      <c r="C7" s="4" t="s">
        <v>45</v>
      </c>
      <c r="D7" s="15" cm="1">
        <f t="array" ref="D7">IF(COUNTIF(Notes!K6:K9,"Moyenne bloquée")&gt;0,"Moyenne bloquée",IF(SUM(IF(Notes!K6:K9&lt;&gt;"",Notes!E6:E9,0))=0,"",SUMPRODUCT(Notes!E6:E9,Notes!K6:K9)/SUM(IF(Notes!K6:K9&lt;&gt;"",Notes!E6:E9,0))))</f>
        <v>15.010833333333332</v>
      </c>
      <c r="E7" s="76" t="str" cm="1">
        <f t="array" ref="E7">IF(COUNTIF(Notes!K27:K31,"Moyenne bloquée")&gt;0,"Moyenne bloquée",IF(SUM(IF(Notes!K27:K31&lt;&gt;"",Notes!E27:E31,0))=0,"",SUMPRODUCT(Notes!E27:E31,Notes!K27:K31)/SUM(IF(Notes!K27:K31&lt;&gt;"",Notes!E27:E31,0))))</f>
        <v/>
      </c>
      <c r="G7" s="4" t="s">
        <v>56</v>
      </c>
      <c r="H7" s="13">
        <f>COUNTIF(H13:H15,"&gt;=10")</f>
        <v>3</v>
      </c>
    </row>
    <row r="8" spans="3:8" ht="20.25" customHeight="1" x14ac:dyDescent="0.35">
      <c r="C8" s="5" t="s">
        <v>46</v>
      </c>
      <c r="D8" s="77" cm="1">
        <f t="array" ref="D8">IF(COUNTIF(Notes!K12:K15,"Moyenne bloquée")&gt;0,"Moyenne bloquée",IF(SUM(IF(Notes!K12:K15&lt;&gt;"",Notes!E12:E15,0))=0,"",SUMPRODUCT(Notes!E12:E15,Notes!K12:K15)/SUM(IF(Notes!K12:K15&lt;&gt;"",Notes!E12:E15,0))))</f>
        <v>15.951388888888889</v>
      </c>
      <c r="E8" s="78" cm="1">
        <f t="array" ref="E8">IF(COUNTIF(Notes!K36:K40,"Moyenne bloquée")&gt;0,"Moyenne bloquée",IF(SUM(IF(Notes!K36:K40&lt;&gt;"",Notes!E36:E40,0))=0,"",SUMPRODUCT(Notes!E36:E40,Notes!K36:K40)/SUM(IF(Notes!K36:K40&lt;&gt;"",Notes!E36:E40,0))))</f>
        <v>18</v>
      </c>
      <c r="G8" s="5" t="s">
        <v>58</v>
      </c>
      <c r="H8" s="14">
        <f>COUNTIFS(H13:H15,"&gt;8",H13:H15,"&lt;10")</f>
        <v>0</v>
      </c>
    </row>
    <row r="9" spans="3:8" ht="20.25" customHeight="1" thickBot="1" x14ac:dyDescent="0.4">
      <c r="C9" s="6" t="s">
        <v>47</v>
      </c>
      <c r="D9" s="77" cm="1">
        <f t="array" ref="D9">IF(COUNTIF(Notes!K17:K20,"Moyenne bloquée")&gt;0,"Moyenne bloquée",IF(SUM(IF(Notes!K17:K20&lt;&gt;"",Notes!E17:E20,0))=0,"",SUMPRODUCT(Notes!E17:E20,Notes!K17:K20)/SUM(IF(Notes!K17:K20&lt;&gt;"",Notes!E17:E20,0))))</f>
        <v>17.004444444444445</v>
      </c>
      <c r="E9" s="78" t="str" cm="1">
        <f t="array" ref="E9">IF(COUNTIF(Notes!K46:K49,"Moyenne bloquée")&gt;0,"Moyenne bloquée",IF(SUM(IF(Notes!K46:K49&lt;&gt;"",Notes!E46:E49,0))=0,"",SUMPRODUCT(Notes!E46:E49,Notes!K46:K49)/SUM(IF(Notes!K46:K49&lt;&gt;"",Notes!E46:E49,0))))</f>
        <v/>
      </c>
      <c r="G9" s="6" t="s">
        <v>57</v>
      </c>
      <c r="H9" s="14">
        <f>COUNTIF(H13:H15,"&lt;8")</f>
        <v>0</v>
      </c>
    </row>
    <row r="11" spans="3:8" ht="20.25" customHeight="1" thickBot="1" x14ac:dyDescent="0.4"/>
    <row r="12" spans="3:8" ht="20.25" customHeight="1" thickBot="1" x14ac:dyDescent="0.5">
      <c r="D12" s="2" t="s">
        <v>0</v>
      </c>
      <c r="E12" s="3" t="s">
        <v>1</v>
      </c>
      <c r="H12" s="7" t="s">
        <v>48</v>
      </c>
    </row>
    <row r="13" spans="3:8" ht="20.25" customHeight="1" x14ac:dyDescent="0.35">
      <c r="C13" s="4" t="s">
        <v>49</v>
      </c>
      <c r="D13" s="9" cm="1">
        <f t="array" ref="D13">IF(COUNTIF(Notes!K10:K11,"Moyenne bloquée")&gt;0,"Moyenne bloquée",IF(SUM(IF(Notes!K10:K11&lt;&gt;"",Notes!E10:E11,0))=0,"",SUMPRODUCT(Notes!E10:E11,Notes!K10:K11)/SUM(IF(Notes!K10:K11&lt;&gt;"",Notes!E10:E11,0))))</f>
        <v>15.875</v>
      </c>
      <c r="E13" s="10" t="str" cm="1">
        <f t="array" ref="E13">IF(COUNTIF(Notes!K32:K35,"Moyenne bloquée")&gt;0,"Moyenne bloquée",IF(SUM(IF(Notes!K32:K35&lt;&gt;"",Notes!E32:E35,0))=0,"",SUMPRODUCT(Notes!E32:E35,Notes!K32:K35)/SUM(IF(Notes!K32:K35&lt;&gt;"",Notes!E32:E35,0))))</f>
        <v/>
      </c>
      <c r="G13" s="4" t="s">
        <v>50</v>
      </c>
      <c r="H13" s="15">
        <f>IFERROR(IF(OR(D19="Moyenne bloquée",E19="Moyenne bloquée"),"Moyenne bloquée",AVERAGE(D19,E19)),"")</f>
        <v>15.6065</v>
      </c>
    </row>
    <row r="14" spans="3:8" ht="20.25" customHeight="1" x14ac:dyDescent="0.35">
      <c r="C14" s="5" t="s">
        <v>51</v>
      </c>
      <c r="D14" s="11">
        <f>IF(COUNTIF(Notes!K16,"Moyenne bloquée")&gt;0,"Moyenne bloquée",IF(SUM(IF(Notes!K16&lt;&gt;"",Notes!E16,0))=0,"",SUMPRODUCT(Notes!E16,Notes!K16)/SUM(IF(Notes!K16&lt;&gt;"",Notes!E16,0))))</f>
        <v>15</v>
      </c>
      <c r="E14" s="12" t="str" cm="1">
        <f t="array" ref="E14">IF(COUNTIF(Notes!K41:K45,"Moyenne bloquée")&gt;0,"Moyenne bloquée",IF(SUM(IF(Notes!K41:K45&lt;&gt;"",Notes!E41:E45,0))=0,"",SUMPRODUCT(Notes!E41:E45,Notes!K41:K45)/SUM(IF(Notes!K41:K45&lt;&gt;"",Notes!E41:E45,0))))</f>
        <v/>
      </c>
      <c r="G14" s="5" t="s">
        <v>52</v>
      </c>
      <c r="H14" s="15">
        <f t="shared" ref="H14:H15" si="0">IFERROR(IF(OR(D20="Moyenne bloquée",E20="Moyenne bloquée"),"Moyenne bloquée",AVERAGE(D20,E20)),"")</f>
        <v>16.910416666666666</v>
      </c>
    </row>
    <row r="15" spans="3:8" ht="20.25" customHeight="1" thickBot="1" x14ac:dyDescent="0.4">
      <c r="C15" s="6" t="s">
        <v>53</v>
      </c>
      <c r="D15" s="11" cm="1">
        <f t="array" ref="D15">IF(COUNTIF(Notes!K21:K23,"Moyenne bloquée")&gt;0,"Moyenne bloquée",IF(SUM(IF(Notes!K21:K23&lt;&gt;"",Notes!E21:E23,0))=0,"",SUMPRODUCT(Notes!E21:E23,Notes!K21:K23)/SUM(IF(Notes!K21:K23&lt;&gt;"",Notes!E21:E23,0))))</f>
        <v>15.9475</v>
      </c>
      <c r="E15" s="12" t="str" cm="1">
        <f t="array" ref="E15">IF(COUNTIF(Notes!K50:K53,"Moyenne bloquée")&gt;0,"Moyenne bloquée",IF(SUM(IF(Notes!K50:K53&lt;&gt;"",Notes!E50:E53,0))=0,"",SUMPRODUCT(Notes!E50:E53,Notes!K50:K53)/SUM(IF(Notes!K50:K53&lt;&gt;"",Notes!E50:E53,0))))</f>
        <v/>
      </c>
      <c r="G15" s="6" t="s">
        <v>54</v>
      </c>
      <c r="H15" s="15">
        <f t="shared" si="0"/>
        <v>16.831666666666663</v>
      </c>
    </row>
    <row r="17" spans="3:8" ht="20.25" customHeight="1" thickBot="1" x14ac:dyDescent="0.4"/>
    <row r="18" spans="3:8" ht="20.25" customHeight="1" thickBot="1" x14ac:dyDescent="0.5">
      <c r="D18" s="2" t="s">
        <v>0</v>
      </c>
      <c r="E18" s="3" t="s">
        <v>1</v>
      </c>
      <c r="G18" s="92" t="s">
        <v>59</v>
      </c>
      <c r="H18" s="94" t="str">
        <f>IF(COUNTIF(H13:H15,"Moyenne bloquée")&gt;0,"Vous n'êtes pas admis en deuxième année",IF(AND(COUNTIF(H13:H15,"&gt;=10")&gt;=2,COUNTIF(H13:H15,"&lt;8")=0),"Vous passez en deuxième année","Vous n'êtes pas admis en deuxième année"))</f>
        <v>Vous passez en deuxième année</v>
      </c>
    </row>
    <row r="19" spans="3:8" ht="20.25" customHeight="1" thickBot="1" x14ac:dyDescent="0.4">
      <c r="C19" s="4" t="s">
        <v>50</v>
      </c>
      <c r="D19" s="9">
        <f>Notes!L6</f>
        <v>15.6065</v>
      </c>
      <c r="E19" s="10" t="str">
        <f>Notes!L27</f>
        <v/>
      </c>
      <c r="G19" s="93"/>
      <c r="H19" s="95"/>
    </row>
    <row r="20" spans="3:8" ht="20.25" customHeight="1" x14ac:dyDescent="0.35">
      <c r="C20" s="5" t="s">
        <v>52</v>
      </c>
      <c r="D20" s="11">
        <f>Notes!L12</f>
        <v>15.820833333333335</v>
      </c>
      <c r="E20" s="12">
        <f>Notes!L36</f>
        <v>18</v>
      </c>
    </row>
    <row r="21" spans="3:8" ht="20.25" customHeight="1" thickBot="1" x14ac:dyDescent="0.4">
      <c r="C21" s="6" t="s">
        <v>54</v>
      </c>
      <c r="D21" s="11">
        <f>Notes!L17</f>
        <v>16.831666666666663</v>
      </c>
      <c r="E21" s="12" t="str">
        <f>Notes!L46</f>
        <v/>
      </c>
    </row>
    <row r="23" spans="3:8" ht="20.25" customHeight="1" thickBot="1" x14ac:dyDescent="0.4">
      <c r="C23" s="81"/>
    </row>
    <row r="24" spans="3:8" ht="20.25" customHeight="1" thickBot="1" x14ac:dyDescent="0.5">
      <c r="C24" s="82"/>
      <c r="D24" s="84" t="s">
        <v>0</v>
      </c>
      <c r="E24" s="85" t="s">
        <v>1</v>
      </c>
    </row>
    <row r="25" spans="3:8" ht="20.25" customHeight="1" thickBot="1" x14ac:dyDescent="0.4">
      <c r="C25" s="83" t="s">
        <v>60</v>
      </c>
      <c r="D25" s="87">
        <f>IFERROR(AVERAGE(Notes!L6:M23),"")</f>
        <v>16.086333333333332</v>
      </c>
      <c r="E25" s="86">
        <f>IFERROR(AVERAGE(Notes!L27:M53),"")</f>
        <v>18</v>
      </c>
    </row>
  </sheetData>
  <mergeCells count="2">
    <mergeCell ref="G18:G19"/>
    <mergeCell ref="H18:H19"/>
  </mergeCells>
  <conditionalFormatting sqref="H20">
    <cfRule type="containsText" dxfId="8" priority="5" operator="containsText" text="Vous n'êtes pas admis en deuxième année">
      <formula>NOT(ISERROR(SEARCH("Vous n'êtes pas admis en deuxième année",H20)))</formula>
    </cfRule>
  </conditionalFormatting>
  <conditionalFormatting sqref="H18:H19">
    <cfRule type="cellIs" dxfId="7" priority="2" operator="equal">
      <formula>"Vous passez en deuxième année"</formula>
    </cfRule>
    <cfRule type="containsText" dxfId="6" priority="3" operator="containsText" text="Vous passez en deuxième année">
      <formula>NOT(ISERROR(SEARCH("Vous passez en deuxième année",H18)))</formula>
    </cfRule>
    <cfRule type="containsText" dxfId="5" priority="4" operator="containsText" text="Vous n'êtes pas admis en deuxième année">
      <formula>NOT(ISERROR(SEARCH("Vous n'êtes pas admis en deuxième année",H18)))</formula>
    </cfRule>
  </conditionalFormatting>
  <conditionalFormatting sqref="D7:E9 D13:E15 D19:E21 H13:H15">
    <cfRule type="containsText" dxfId="4" priority="1" operator="containsText" text="Moyenne bloquée">
      <formula>NOT(ISERROR(SEARCH("Moyenne bloquée",D7)))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btnRetourMenu">
          <controlPr defaultSize="0" autoLine="0" r:id="rId5">
            <anchor moveWithCells="1">
              <from>
                <xdr:col>6</xdr:col>
                <xdr:colOff>4013200</xdr:colOff>
                <xdr:row>1</xdr:row>
                <xdr:rowOff>12700</xdr:rowOff>
              </from>
              <to>
                <xdr:col>7</xdr:col>
                <xdr:colOff>882650</xdr:colOff>
                <xdr:row>2</xdr:row>
                <xdr:rowOff>190500</xdr:rowOff>
              </to>
            </anchor>
          </controlPr>
        </control>
      </mc:Choice>
      <mc:Fallback>
        <control shapeId="2050" r:id="rId4" name="btnRetour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5041A-2A0B-4377-86A9-E0EDFBF29CBA}">
  <sheetPr codeName="Feuil2"/>
  <dimension ref="B4:S53"/>
  <sheetViews>
    <sheetView showGridLines="0" zoomScale="58" zoomScaleNormal="55" workbookViewId="0">
      <selection activeCell="M2" sqref="M2"/>
    </sheetView>
  </sheetViews>
  <sheetFormatPr baseColWidth="10" defaultColWidth="11.453125" defaultRowHeight="23.25" customHeight="1" x14ac:dyDescent="0.35"/>
  <cols>
    <col min="1" max="1" width="11.453125" style="1"/>
    <col min="2" max="2" width="11.453125" style="1" customWidth="1"/>
    <col min="3" max="3" width="25.26953125" style="1" customWidth="1"/>
    <col min="4" max="4" width="71.54296875" style="1" bestFit="1" customWidth="1"/>
    <col min="5" max="5" width="12.54296875" style="1" customWidth="1"/>
    <col min="6" max="6" width="9.54296875" style="1" bestFit="1" customWidth="1"/>
    <col min="7" max="10" width="11.453125" style="1"/>
    <col min="11" max="11" width="18.26953125" style="1" bestFit="1" customWidth="1"/>
    <col min="12" max="12" width="11.453125" style="1"/>
    <col min="13" max="13" width="17.1796875" style="1" customWidth="1"/>
    <col min="14" max="14" width="2.1796875" style="1" customWidth="1"/>
    <col min="15" max="15" width="12.453125" style="1" bestFit="1" customWidth="1"/>
    <col min="16" max="16384" width="11.453125" style="1"/>
  </cols>
  <sheetData>
    <row r="4" spans="2:17" ht="23.25" customHeight="1" thickBot="1" x14ac:dyDescent="0.4">
      <c r="F4" s="75">
        <v>1</v>
      </c>
      <c r="G4" s="75">
        <v>2</v>
      </c>
      <c r="H4" s="75">
        <v>3</v>
      </c>
      <c r="I4" s="75">
        <v>4</v>
      </c>
      <c r="J4" s="75">
        <v>5</v>
      </c>
    </row>
    <row r="5" spans="2:17" ht="23.25" customHeight="1" thickBot="1" x14ac:dyDescent="0.4">
      <c r="B5" s="108" t="s">
        <v>0</v>
      </c>
      <c r="C5" s="109"/>
      <c r="D5" s="110"/>
      <c r="E5" s="20" t="s">
        <v>41</v>
      </c>
      <c r="F5" s="21" t="str">
        <f t="shared" ref="F5:I5" si="0">IF(COUNT(F6:F23)=0, "", "Note " &amp; F4)</f>
        <v>Note 1</v>
      </c>
      <c r="G5" s="21" t="str">
        <f t="shared" si="0"/>
        <v>Note 2</v>
      </c>
      <c r="H5" s="21" t="str">
        <f t="shared" si="0"/>
        <v>Note 3</v>
      </c>
      <c r="I5" s="21" t="str">
        <f t="shared" si="0"/>
        <v>Note 4</v>
      </c>
      <c r="J5" s="21" t="str">
        <f>IF(COUNT(J6:J23)=0, "", "Note " &amp; J4)</f>
        <v>Note 5</v>
      </c>
      <c r="K5" s="21" t="s">
        <v>40</v>
      </c>
      <c r="L5" s="125" t="s">
        <v>42</v>
      </c>
      <c r="M5" s="126"/>
      <c r="O5" s="36" t="s">
        <v>43</v>
      </c>
      <c r="P5" s="58">
        <f>COUNTIF(F6:J23,"ABI")</f>
        <v>0</v>
      </c>
    </row>
    <row r="6" spans="2:17" ht="23.25" customHeight="1" thickBot="1" x14ac:dyDescent="0.4">
      <c r="B6" s="127" t="s">
        <v>2</v>
      </c>
      <c r="C6" s="128"/>
      <c r="D6" s="22" t="s">
        <v>4</v>
      </c>
      <c r="E6" s="69">
        <v>15</v>
      </c>
      <c r="F6" s="73">
        <v>14</v>
      </c>
      <c r="G6" s="73">
        <v>15.42</v>
      </c>
      <c r="H6" s="73"/>
      <c r="I6" s="73"/>
      <c r="J6" s="73"/>
      <c r="K6" s="24">
        <f>IF(COUNTIF(F6:J6,"ABI"),"Moyenne bloquée",(IF(COUNTA(F6:J6)=0,"",AVERAGEIF(F6:J6,"&lt;&gt;"))))</f>
        <v>14.71</v>
      </c>
      <c r="L6" s="123" cm="1">
        <f t="array" ref="L6">IF(COUNTIF(K6:K11,"Moyenne bloquée")&gt;0,"Moyenne bloquée",IF(SUM(IF(K6:K11&lt;&gt;"",E6:E11,0))=0,"",MAX(0,SUMPRODUCT(E6:E11,K6:K11)/SUM(IF(K6:K11&lt;&gt;"",E6:E11,0))-2/10*IF(P7&gt;5,P7-5,0))))+IF((P9/20)-0.5&gt;=0.05,(P9/20)-0.5,0)</f>
        <v>15.6065</v>
      </c>
      <c r="M6" s="124"/>
    </row>
    <row r="7" spans="2:17" ht="23.25" customHeight="1" thickBot="1" x14ac:dyDescent="0.4">
      <c r="B7" s="129"/>
      <c r="C7" s="130"/>
      <c r="D7" s="23" t="s">
        <v>5</v>
      </c>
      <c r="E7" s="70">
        <v>20</v>
      </c>
      <c r="F7" s="73">
        <v>18</v>
      </c>
      <c r="G7" s="73">
        <v>15.5</v>
      </c>
      <c r="H7" s="74"/>
      <c r="I7" s="74"/>
      <c r="J7" s="74"/>
      <c r="K7" s="24">
        <f t="shared" ref="K7:K23" si="1">IF(COUNTIF(F7:J7,"ABI"),"Moyenne bloquée",(IF(COUNTA(F7:J7)=0,"",AVERAGEIF(F7:J7,"&lt;&gt;"))))</f>
        <v>16.75</v>
      </c>
      <c r="L7" s="116"/>
      <c r="M7" s="117"/>
      <c r="O7" s="57" t="s">
        <v>44</v>
      </c>
      <c r="P7" s="71"/>
    </row>
    <row r="8" spans="2:17" ht="23.25" customHeight="1" thickBot="1" x14ac:dyDescent="0.4">
      <c r="B8" s="129"/>
      <c r="C8" s="130"/>
      <c r="D8" s="23" t="s">
        <v>3</v>
      </c>
      <c r="E8" s="70">
        <v>20</v>
      </c>
      <c r="F8" s="73">
        <v>17</v>
      </c>
      <c r="G8" s="73">
        <v>10</v>
      </c>
      <c r="H8" s="74">
        <v>10.5</v>
      </c>
      <c r="I8" s="74"/>
      <c r="J8" s="74"/>
      <c r="K8" s="24">
        <f t="shared" si="1"/>
        <v>12.5</v>
      </c>
      <c r="L8" s="116"/>
      <c r="M8" s="117"/>
    </row>
    <row r="9" spans="2:17" ht="23.25" customHeight="1" thickBot="1" x14ac:dyDescent="0.4">
      <c r="B9" s="129"/>
      <c r="C9" s="130"/>
      <c r="D9" s="23" t="s">
        <v>37</v>
      </c>
      <c r="E9" s="70">
        <v>5</v>
      </c>
      <c r="F9" s="73">
        <v>18</v>
      </c>
      <c r="G9" s="73">
        <v>20</v>
      </c>
      <c r="H9" s="74"/>
      <c r="I9" s="74"/>
      <c r="J9" s="74"/>
      <c r="K9" s="24">
        <f t="shared" si="1"/>
        <v>19</v>
      </c>
      <c r="L9" s="116"/>
      <c r="M9" s="117"/>
      <c r="O9" s="88" t="s">
        <v>61</v>
      </c>
      <c r="P9" s="34">
        <v>15</v>
      </c>
    </row>
    <row r="10" spans="2:17" ht="23.25" customHeight="1" x14ac:dyDescent="0.35">
      <c r="B10" s="129"/>
      <c r="C10" s="130"/>
      <c r="D10" s="23" t="s">
        <v>14</v>
      </c>
      <c r="E10" s="70">
        <v>30</v>
      </c>
      <c r="F10" s="73">
        <v>16</v>
      </c>
      <c r="G10" s="73"/>
      <c r="H10" s="74"/>
      <c r="I10" s="74"/>
      <c r="J10" s="74"/>
      <c r="K10" s="24">
        <f t="shared" si="1"/>
        <v>16</v>
      </c>
      <c r="L10" s="116"/>
      <c r="M10" s="117"/>
    </row>
    <row r="11" spans="2:17" ht="23.25" customHeight="1" x14ac:dyDescent="0.35">
      <c r="B11" s="131"/>
      <c r="C11" s="132"/>
      <c r="D11" s="23" t="s">
        <v>15</v>
      </c>
      <c r="E11" s="70">
        <v>10</v>
      </c>
      <c r="F11" s="73">
        <v>15.5</v>
      </c>
      <c r="G11" s="73"/>
      <c r="H11" s="74"/>
      <c r="I11" s="74"/>
      <c r="J11" s="74"/>
      <c r="K11" s="24">
        <f t="shared" si="1"/>
        <v>15.5</v>
      </c>
      <c r="L11" s="118"/>
      <c r="M11" s="119"/>
    </row>
    <row r="12" spans="2:17" ht="23.25" customHeight="1" x14ac:dyDescent="0.35">
      <c r="B12" s="133" t="s">
        <v>6</v>
      </c>
      <c r="C12" s="134"/>
      <c r="D12" s="59" t="s">
        <v>7</v>
      </c>
      <c r="E12" s="39">
        <v>20</v>
      </c>
      <c r="F12" s="73">
        <v>13.75</v>
      </c>
      <c r="G12" s="74">
        <v>14.75</v>
      </c>
      <c r="H12" s="74"/>
      <c r="I12" s="74"/>
      <c r="J12" s="74"/>
      <c r="K12" s="24">
        <f t="shared" si="1"/>
        <v>14.25</v>
      </c>
      <c r="L12" s="102" cm="1">
        <f t="array" ref="L12">IF(COUNTIF(K12:K16,"Moyenne bloquée")&gt;0,"Moyenne bloquée",IF(SUM(IF(K12:K16&lt;&gt;"",E12:E16,0))=0,"",MAX(0,SUMPRODUCT(E12:E16,K12:K16)/SUM(IF(K12:K16&lt;&gt;"",E12:E16,0))-2/10*IF(P7&gt;5,P7-5,0))))+IF((P9/20)-0.5&gt;=0.05,(P9/20)-0.5,0)</f>
        <v>15.820833333333335</v>
      </c>
      <c r="M12" s="103"/>
      <c r="Q12" s="16"/>
    </row>
    <row r="13" spans="2:17" ht="23.25" customHeight="1" x14ac:dyDescent="0.35">
      <c r="B13" s="135"/>
      <c r="C13" s="136"/>
      <c r="D13" s="59" t="s">
        <v>8</v>
      </c>
      <c r="E13" s="39">
        <v>15</v>
      </c>
      <c r="F13" s="73">
        <v>15</v>
      </c>
      <c r="G13" s="74">
        <v>17.5</v>
      </c>
      <c r="H13" s="74"/>
      <c r="I13" s="74"/>
      <c r="J13" s="74"/>
      <c r="K13" s="24">
        <f t="shared" si="1"/>
        <v>16.25</v>
      </c>
      <c r="L13" s="104"/>
      <c r="M13" s="105"/>
    </row>
    <row r="14" spans="2:17" ht="23.25" customHeight="1" x14ac:dyDescent="0.35">
      <c r="B14" s="135"/>
      <c r="C14" s="136"/>
      <c r="D14" s="59" t="s">
        <v>9</v>
      </c>
      <c r="E14" s="39">
        <v>20</v>
      </c>
      <c r="F14" s="73">
        <v>17</v>
      </c>
      <c r="G14" s="74">
        <v>16</v>
      </c>
      <c r="H14" s="74">
        <v>17</v>
      </c>
      <c r="I14" s="74"/>
      <c r="J14" s="74"/>
      <c r="K14" s="24">
        <f t="shared" si="1"/>
        <v>16.666666666666668</v>
      </c>
      <c r="L14" s="104"/>
      <c r="M14" s="105"/>
    </row>
    <row r="15" spans="2:17" ht="23.25" customHeight="1" x14ac:dyDescent="0.35">
      <c r="B15" s="135"/>
      <c r="C15" s="136"/>
      <c r="D15" s="60" t="s">
        <v>37</v>
      </c>
      <c r="E15" s="39">
        <v>5</v>
      </c>
      <c r="F15" s="73">
        <v>18</v>
      </c>
      <c r="G15" s="74">
        <v>20</v>
      </c>
      <c r="H15" s="74"/>
      <c r="I15" s="74"/>
      <c r="J15" s="74"/>
      <c r="K15" s="24">
        <f t="shared" si="1"/>
        <v>19</v>
      </c>
      <c r="L15" s="104"/>
      <c r="M15" s="105"/>
    </row>
    <row r="16" spans="2:17" ht="29" x14ac:dyDescent="0.35">
      <c r="B16" s="137"/>
      <c r="C16" s="138"/>
      <c r="D16" s="59" t="s">
        <v>16</v>
      </c>
      <c r="E16" s="39">
        <v>40</v>
      </c>
      <c r="F16" s="73">
        <v>15</v>
      </c>
      <c r="G16" s="74"/>
      <c r="H16" s="74"/>
      <c r="I16" s="74"/>
      <c r="J16" s="74"/>
      <c r="K16" s="24">
        <f>IF(COUNTIF(F16:J16,"ABI"),"Moyenne bloquée",(IF(COUNTA(F16:J16)=0,"",AVERAGEIF(F16:J16,"&lt;&gt;"))))</f>
        <v>15</v>
      </c>
      <c r="L16" s="106"/>
      <c r="M16" s="107"/>
    </row>
    <row r="17" spans="2:19" ht="23.25" customHeight="1" x14ac:dyDescent="0.35">
      <c r="B17" s="96" t="s">
        <v>10</v>
      </c>
      <c r="C17" s="97"/>
      <c r="D17" s="61" t="s">
        <v>11</v>
      </c>
      <c r="E17" s="37">
        <v>15</v>
      </c>
      <c r="F17" s="73">
        <v>18</v>
      </c>
      <c r="G17" s="74">
        <v>17.5</v>
      </c>
      <c r="H17" s="74">
        <v>20</v>
      </c>
      <c r="I17" s="74">
        <v>11.25</v>
      </c>
      <c r="J17" s="74">
        <v>17</v>
      </c>
      <c r="K17" s="24">
        <v>15.5</v>
      </c>
      <c r="L17" s="102" cm="1">
        <f t="array" ref="L17">IF(COUNTIF(K17:K23,"Moyenne bloquée")&gt;0,"Moyenne bloquée",IF(SUM(IF(K17:K23&lt;&gt;"",E17:E23,0))=0,"",MAX(0,SUMPRODUCT(E17:E23,K17:K23)/SUM(IF(K17:K23&lt;&gt;"",E17:E23,0))-2/10*IF(P7&gt;5,P7-5,0))))+IF((P9/20)-0.5&gt;=0.05,(P9/20)-0.5,0)</f>
        <v>16.831666666666663</v>
      </c>
      <c r="M17" s="103"/>
    </row>
    <row r="18" spans="2:19" ht="23" customHeight="1" x14ac:dyDescent="0.35">
      <c r="B18" s="98"/>
      <c r="C18" s="99"/>
      <c r="D18" s="61" t="s">
        <v>12</v>
      </c>
      <c r="E18" s="37">
        <v>15</v>
      </c>
      <c r="F18" s="73">
        <v>15.48</v>
      </c>
      <c r="G18" s="74">
        <v>13</v>
      </c>
      <c r="H18" s="74"/>
      <c r="I18" s="74"/>
      <c r="J18" s="74"/>
      <c r="K18" s="24">
        <f t="shared" si="1"/>
        <v>14.24</v>
      </c>
      <c r="L18" s="104"/>
      <c r="M18" s="105"/>
    </row>
    <row r="19" spans="2:19" ht="29.5" customHeight="1" x14ac:dyDescent="0.35">
      <c r="B19" s="98"/>
      <c r="C19" s="99"/>
      <c r="D19" s="61" t="s">
        <v>13</v>
      </c>
      <c r="E19" s="37">
        <v>25</v>
      </c>
      <c r="F19" s="73">
        <v>19</v>
      </c>
      <c r="G19" s="74">
        <v>20</v>
      </c>
      <c r="H19" s="74">
        <v>18.5</v>
      </c>
      <c r="I19" s="74"/>
      <c r="J19" s="74"/>
      <c r="K19" s="24">
        <f t="shared" si="1"/>
        <v>19.166666666666668</v>
      </c>
      <c r="L19" s="104"/>
      <c r="M19" s="105"/>
    </row>
    <row r="20" spans="2:19" ht="23.25" customHeight="1" x14ac:dyDescent="0.35">
      <c r="B20" s="98"/>
      <c r="C20" s="99"/>
      <c r="D20" s="62" t="s">
        <v>37</v>
      </c>
      <c r="E20" s="47">
        <v>5</v>
      </c>
      <c r="F20" s="73">
        <v>18</v>
      </c>
      <c r="G20" s="74">
        <v>20</v>
      </c>
      <c r="H20" s="74"/>
      <c r="I20" s="74"/>
      <c r="J20" s="74"/>
      <c r="K20" s="24">
        <f t="shared" si="1"/>
        <v>19</v>
      </c>
      <c r="L20" s="104"/>
      <c r="M20" s="105"/>
    </row>
    <row r="21" spans="2:19" ht="23.25" customHeight="1" x14ac:dyDescent="0.35">
      <c r="B21" s="98"/>
      <c r="C21" s="99"/>
      <c r="D21" s="63" t="s">
        <v>17</v>
      </c>
      <c r="E21" s="37">
        <v>15</v>
      </c>
      <c r="F21" s="73">
        <v>18</v>
      </c>
      <c r="G21" s="74"/>
      <c r="H21" s="74"/>
      <c r="I21" s="74"/>
      <c r="J21" s="74"/>
      <c r="K21" s="24">
        <f t="shared" si="1"/>
        <v>18</v>
      </c>
      <c r="L21" s="104"/>
      <c r="M21" s="105"/>
    </row>
    <row r="22" spans="2:19" ht="23.25" customHeight="1" x14ac:dyDescent="0.35">
      <c r="B22" s="98"/>
      <c r="C22" s="99"/>
      <c r="D22" s="63" t="s">
        <v>18</v>
      </c>
      <c r="E22" s="37">
        <v>10</v>
      </c>
      <c r="F22" s="73">
        <v>15.79</v>
      </c>
      <c r="G22" s="74"/>
      <c r="H22" s="74"/>
      <c r="I22" s="74"/>
      <c r="J22" s="74"/>
      <c r="K22" s="24">
        <f t="shared" si="1"/>
        <v>15.79</v>
      </c>
      <c r="L22" s="104"/>
      <c r="M22" s="105"/>
    </row>
    <row r="23" spans="2:19" ht="23.25" customHeight="1" x14ac:dyDescent="0.35">
      <c r="B23" s="100"/>
      <c r="C23" s="101"/>
      <c r="D23" s="64" t="s">
        <v>19</v>
      </c>
      <c r="E23" s="37">
        <v>15</v>
      </c>
      <c r="F23" s="73">
        <v>14</v>
      </c>
      <c r="G23" s="74"/>
      <c r="H23" s="74"/>
      <c r="I23" s="74"/>
      <c r="J23" s="74"/>
      <c r="K23" s="24">
        <f t="shared" si="1"/>
        <v>14</v>
      </c>
      <c r="L23" s="106"/>
      <c r="M23" s="107"/>
    </row>
    <row r="24" spans="2:19" ht="23.25" customHeight="1" x14ac:dyDescent="0.35">
      <c r="M24" s="35"/>
      <c r="N24" s="35"/>
      <c r="O24" s="35"/>
      <c r="P24" s="35"/>
      <c r="Q24" s="35"/>
      <c r="R24" s="35"/>
      <c r="S24" s="35"/>
    </row>
    <row r="25" spans="2:19" ht="23.25" customHeight="1" thickBot="1" x14ac:dyDescent="0.4"/>
    <row r="26" spans="2:19" ht="23.25" customHeight="1" thickBot="1" x14ac:dyDescent="0.4">
      <c r="B26" s="108" t="s">
        <v>1</v>
      </c>
      <c r="C26" s="109"/>
      <c r="D26" s="110"/>
      <c r="E26" s="20" t="s">
        <v>41</v>
      </c>
      <c r="F26" s="21" t="str">
        <f>IF(COUNT(F27:F53)=0, "", "Note " &amp; F4)</f>
        <v>Note 1</v>
      </c>
      <c r="G26" s="21" t="str">
        <f t="shared" ref="G26:J26" si="2">IF(COUNT(G27:G53)=0, "", "Note " &amp; G4)</f>
        <v/>
      </c>
      <c r="H26" s="21" t="str">
        <f t="shared" si="2"/>
        <v/>
      </c>
      <c r="I26" s="21" t="str">
        <f t="shared" si="2"/>
        <v/>
      </c>
      <c r="J26" s="21" t="str">
        <f t="shared" si="2"/>
        <v/>
      </c>
      <c r="K26" s="21" t="s">
        <v>40</v>
      </c>
      <c r="L26" s="111" t="s">
        <v>42</v>
      </c>
      <c r="M26" s="112"/>
      <c r="O26" s="36" t="s">
        <v>43</v>
      </c>
      <c r="P26" s="34">
        <f>COUNTIF(F27:J53,"ABI")</f>
        <v>0</v>
      </c>
    </row>
    <row r="27" spans="2:19" ht="23.25" customHeight="1" thickBot="1" x14ac:dyDescent="0.4">
      <c r="B27" s="121" t="s">
        <v>2</v>
      </c>
      <c r="C27" s="121"/>
      <c r="D27" s="56" t="s">
        <v>23</v>
      </c>
      <c r="E27" s="69">
        <v>10</v>
      </c>
      <c r="F27" s="73"/>
      <c r="G27" s="73"/>
      <c r="H27" s="80"/>
      <c r="I27" s="80"/>
      <c r="J27" s="80"/>
      <c r="K27" s="80" t="str">
        <f>IF(COUNTIF(F27:J27,"ABI"),"Moyenne bloquée",(IF(COUNTA(F27:J27)=0,"",AVERAGEIF(F27:J27,"&lt;&gt;"))))</f>
        <v/>
      </c>
      <c r="L27" s="123" t="str" cm="1">
        <f t="array" ref="L27">IF(COUNTIF(K27:K35,"Moyenne bloquée")&gt;0,"Moyenne bloquée",IF(SUM(IF(K27:K35&lt;&gt;"",E27:E35,0))=0,"",MAX(0,SUMPRODUCT(E27:E35,K27:K35)/SUM(IF(K27:K35&lt;&gt;"",E27:E35,0))-2/10*IF(P7&gt;5,P7-5,0))))</f>
        <v/>
      </c>
      <c r="M27" s="124"/>
    </row>
    <row r="28" spans="2:19" ht="23.25" customHeight="1" thickBot="1" x14ac:dyDescent="0.4">
      <c r="B28" s="122"/>
      <c r="C28" s="122"/>
      <c r="D28" s="26" t="s">
        <v>20</v>
      </c>
      <c r="E28" s="70">
        <v>15</v>
      </c>
      <c r="F28" s="73"/>
      <c r="G28" s="73"/>
      <c r="H28" s="79"/>
      <c r="I28" s="79"/>
      <c r="J28" s="79"/>
      <c r="K28" s="80" t="str">
        <f t="shared" ref="K28:K53" si="3">IF(COUNTIF(F28:J28,"ABI"),"Moyenne bloquée",(IF(COUNTA(F28:J28)=0,"",AVERAGEIF(F28:J28,"&lt;&gt;"))))</f>
        <v/>
      </c>
      <c r="L28" s="116"/>
      <c r="M28" s="117"/>
      <c r="O28" s="57" t="s">
        <v>44</v>
      </c>
      <c r="P28" s="72"/>
    </row>
    <row r="29" spans="2:19" ht="23.25" customHeight="1" thickBot="1" x14ac:dyDescent="0.4">
      <c r="B29" s="122"/>
      <c r="C29" s="122"/>
      <c r="D29" s="26" t="s">
        <v>21</v>
      </c>
      <c r="E29" s="70">
        <v>15</v>
      </c>
      <c r="F29" s="73"/>
      <c r="G29" s="73"/>
      <c r="H29" s="79"/>
      <c r="I29" s="79"/>
      <c r="J29" s="79"/>
      <c r="K29" s="80" t="str">
        <f t="shared" si="3"/>
        <v/>
      </c>
      <c r="L29" s="116"/>
      <c r="M29" s="117"/>
      <c r="N29" s="17"/>
    </row>
    <row r="30" spans="2:19" ht="23.25" customHeight="1" thickBot="1" x14ac:dyDescent="0.4">
      <c r="B30" s="122"/>
      <c r="C30" s="122"/>
      <c r="D30" s="26" t="s">
        <v>22</v>
      </c>
      <c r="E30" s="70">
        <v>15</v>
      </c>
      <c r="F30" s="73"/>
      <c r="G30" s="73"/>
      <c r="H30" s="79"/>
      <c r="I30" s="79"/>
      <c r="J30" s="79"/>
      <c r="K30" s="80" t="str">
        <f t="shared" si="3"/>
        <v/>
      </c>
      <c r="L30" s="116"/>
      <c r="M30" s="117"/>
      <c r="O30" s="88" t="s">
        <v>61</v>
      </c>
      <c r="P30" s="34"/>
    </row>
    <row r="31" spans="2:19" ht="23.25" customHeight="1" x14ac:dyDescent="0.35">
      <c r="B31" s="122"/>
      <c r="C31" s="122"/>
      <c r="D31" s="26" t="s">
        <v>38</v>
      </c>
      <c r="E31" s="42">
        <v>5</v>
      </c>
      <c r="F31" s="73"/>
      <c r="G31" s="73"/>
      <c r="H31" s="79"/>
      <c r="I31" s="79"/>
      <c r="J31" s="79"/>
      <c r="K31" s="80" t="str">
        <f t="shared" si="3"/>
        <v/>
      </c>
      <c r="L31" s="116"/>
      <c r="M31" s="117"/>
    </row>
    <row r="32" spans="2:19" ht="23.25" customHeight="1" x14ac:dyDescent="0.35">
      <c r="B32" s="122"/>
      <c r="C32" s="122"/>
      <c r="D32" s="26" t="s">
        <v>31</v>
      </c>
      <c r="E32" s="70">
        <v>10</v>
      </c>
      <c r="F32" s="73"/>
      <c r="G32" s="73"/>
      <c r="H32" s="79"/>
      <c r="I32" s="79"/>
      <c r="J32" s="79"/>
      <c r="K32" s="80" t="str">
        <f t="shared" si="3"/>
        <v/>
      </c>
      <c r="L32" s="116"/>
      <c r="M32" s="117"/>
    </row>
    <row r="33" spans="2:13" ht="23.25" customHeight="1" x14ac:dyDescent="0.35">
      <c r="B33" s="122"/>
      <c r="C33" s="122"/>
      <c r="D33" s="27" t="s">
        <v>34</v>
      </c>
      <c r="E33" s="25">
        <v>5</v>
      </c>
      <c r="F33" s="73"/>
      <c r="G33" s="74"/>
      <c r="H33" s="79"/>
      <c r="I33" s="79"/>
      <c r="J33" s="79"/>
      <c r="K33" s="80" t="str">
        <f t="shared" si="3"/>
        <v/>
      </c>
      <c r="L33" s="116"/>
      <c r="M33" s="117"/>
    </row>
    <row r="34" spans="2:13" ht="23.25" customHeight="1" x14ac:dyDescent="0.35">
      <c r="B34" s="122"/>
      <c r="C34" s="122"/>
      <c r="D34" s="27" t="s">
        <v>36</v>
      </c>
      <c r="E34" s="25">
        <v>20</v>
      </c>
      <c r="F34" s="73"/>
      <c r="G34" s="74"/>
      <c r="H34" s="79"/>
      <c r="I34" s="79"/>
      <c r="J34" s="79"/>
      <c r="K34" s="80" t="str">
        <f t="shared" si="3"/>
        <v/>
      </c>
      <c r="L34" s="116"/>
      <c r="M34" s="117"/>
    </row>
    <row r="35" spans="2:13" ht="23.25" customHeight="1" x14ac:dyDescent="0.35">
      <c r="B35" s="122"/>
      <c r="C35" s="122"/>
      <c r="D35" s="26" t="s">
        <v>39</v>
      </c>
      <c r="E35" s="25">
        <v>5</v>
      </c>
      <c r="F35" s="73"/>
      <c r="G35" s="74"/>
      <c r="H35" s="79"/>
      <c r="I35" s="79"/>
      <c r="J35" s="79"/>
      <c r="K35" s="80" t="str">
        <f t="shared" si="3"/>
        <v/>
      </c>
      <c r="L35" s="118"/>
      <c r="M35" s="119"/>
    </row>
    <row r="36" spans="2:13" ht="23.25" customHeight="1" x14ac:dyDescent="0.35">
      <c r="B36" s="120" t="s">
        <v>6</v>
      </c>
      <c r="C36" s="120"/>
      <c r="D36" s="32" t="s">
        <v>24</v>
      </c>
      <c r="E36" s="39">
        <v>10</v>
      </c>
      <c r="F36" s="73"/>
      <c r="G36" s="74"/>
      <c r="H36" s="79"/>
      <c r="I36" s="79"/>
      <c r="J36" s="79"/>
      <c r="K36" s="80" t="str">
        <f t="shared" si="3"/>
        <v/>
      </c>
      <c r="L36" s="114" cm="1">
        <f t="array" ref="L36">IF(COUNTIF(K36:K45,"Moyenne bloquée")&gt;0,"Moyenne bloquée",IF(SUM(IF(K36:K45&lt;&gt;"",E36:E45,0))=0,"",MAX(0,SUMPRODUCT(E36:E45,K36:K45)/SUM(IF(K36:K45&lt;&gt;"",E36:E45,0))-2/10*IF(P7&gt;5,P7-5,0))))</f>
        <v>18</v>
      </c>
      <c r="M36" s="115"/>
    </row>
    <row r="37" spans="2:13" ht="23.25" customHeight="1" x14ac:dyDescent="0.35">
      <c r="B37" s="120"/>
      <c r="C37" s="120"/>
      <c r="D37" s="32" t="s">
        <v>26</v>
      </c>
      <c r="E37" s="39">
        <v>15</v>
      </c>
      <c r="F37" s="73">
        <v>18</v>
      </c>
      <c r="G37" s="74"/>
      <c r="H37" s="79"/>
      <c r="I37" s="79"/>
      <c r="J37" s="79"/>
      <c r="K37" s="80">
        <f t="shared" si="3"/>
        <v>18</v>
      </c>
      <c r="L37" s="116"/>
      <c r="M37" s="117"/>
    </row>
    <row r="38" spans="2:13" ht="23.25" customHeight="1" x14ac:dyDescent="0.35">
      <c r="B38" s="120"/>
      <c r="C38" s="120"/>
      <c r="D38" s="32" t="s">
        <v>27</v>
      </c>
      <c r="E38" s="39">
        <v>15</v>
      </c>
      <c r="F38" s="73"/>
      <c r="G38" s="74"/>
      <c r="H38" s="79"/>
      <c r="I38" s="79"/>
      <c r="J38" s="79"/>
      <c r="K38" s="80" t="str">
        <f t="shared" si="3"/>
        <v/>
      </c>
      <c r="L38" s="116"/>
      <c r="M38" s="117"/>
    </row>
    <row r="39" spans="2:13" ht="23.25" customHeight="1" x14ac:dyDescent="0.35">
      <c r="B39" s="120"/>
      <c r="C39" s="120"/>
      <c r="D39" s="32" t="s">
        <v>25</v>
      </c>
      <c r="E39" s="39">
        <v>15</v>
      </c>
      <c r="F39" s="73"/>
      <c r="G39" s="74"/>
      <c r="H39" s="79"/>
      <c r="I39" s="79"/>
      <c r="J39" s="79"/>
      <c r="K39" s="80" t="str">
        <f t="shared" si="3"/>
        <v/>
      </c>
      <c r="L39" s="116"/>
      <c r="M39" s="117"/>
    </row>
    <row r="40" spans="2:13" ht="23.25" customHeight="1" x14ac:dyDescent="0.35">
      <c r="B40" s="120"/>
      <c r="C40" s="120"/>
      <c r="D40" s="33" t="s">
        <v>38</v>
      </c>
      <c r="E40" s="39">
        <v>5</v>
      </c>
      <c r="F40" s="73"/>
      <c r="G40" s="74"/>
      <c r="H40" s="79"/>
      <c r="I40" s="79"/>
      <c r="J40" s="79"/>
      <c r="K40" s="80" t="str">
        <f t="shared" si="3"/>
        <v/>
      </c>
      <c r="L40" s="116"/>
      <c r="M40" s="117"/>
    </row>
    <row r="41" spans="2:13" ht="23.25" customHeight="1" x14ac:dyDescent="0.35">
      <c r="B41" s="120"/>
      <c r="C41" s="120"/>
      <c r="D41" s="32" t="s">
        <v>32</v>
      </c>
      <c r="E41" s="39">
        <v>10</v>
      </c>
      <c r="F41" s="73"/>
      <c r="G41" s="74"/>
      <c r="H41" s="79"/>
      <c r="I41" s="79"/>
      <c r="J41" s="79"/>
      <c r="K41" s="80" t="str">
        <f t="shared" si="3"/>
        <v/>
      </c>
      <c r="L41" s="116"/>
      <c r="M41" s="117"/>
    </row>
    <row r="42" spans="2:13" ht="23.25" customHeight="1" x14ac:dyDescent="0.35">
      <c r="B42" s="120"/>
      <c r="C42" s="120"/>
      <c r="D42" s="32" t="s">
        <v>33</v>
      </c>
      <c r="E42" s="39">
        <v>10</v>
      </c>
      <c r="F42" s="73"/>
      <c r="G42" s="74"/>
      <c r="H42" s="79"/>
      <c r="I42" s="79"/>
      <c r="J42" s="79"/>
      <c r="K42" s="80" t="str">
        <f t="shared" si="3"/>
        <v/>
      </c>
      <c r="L42" s="116"/>
      <c r="M42" s="117"/>
    </row>
    <row r="43" spans="2:13" ht="23.25" customHeight="1" x14ac:dyDescent="0.35">
      <c r="B43" s="120"/>
      <c r="C43" s="120"/>
      <c r="D43" s="32" t="s">
        <v>34</v>
      </c>
      <c r="E43" s="31">
        <v>5</v>
      </c>
      <c r="F43" s="73"/>
      <c r="G43" s="74"/>
      <c r="H43" s="79"/>
      <c r="I43" s="79"/>
      <c r="J43" s="79"/>
      <c r="K43" s="80" t="str">
        <f t="shared" si="3"/>
        <v/>
      </c>
      <c r="L43" s="116"/>
      <c r="M43" s="117"/>
    </row>
    <row r="44" spans="2:13" ht="23.25" customHeight="1" x14ac:dyDescent="0.35">
      <c r="B44" s="120"/>
      <c r="C44" s="120"/>
      <c r="D44" s="32" t="s">
        <v>36</v>
      </c>
      <c r="E44" s="31">
        <v>20</v>
      </c>
      <c r="F44" s="73"/>
      <c r="G44" s="74"/>
      <c r="H44" s="79"/>
      <c r="I44" s="79"/>
      <c r="J44" s="79"/>
      <c r="K44" s="80" t="str">
        <f t="shared" si="3"/>
        <v/>
      </c>
      <c r="L44" s="116"/>
      <c r="M44" s="117"/>
    </row>
    <row r="45" spans="2:13" ht="23.25" customHeight="1" x14ac:dyDescent="0.35">
      <c r="B45" s="120"/>
      <c r="C45" s="120"/>
      <c r="D45" s="33" t="s">
        <v>39</v>
      </c>
      <c r="E45" s="31">
        <v>5</v>
      </c>
      <c r="F45" s="73"/>
      <c r="G45" s="79"/>
      <c r="H45" s="79"/>
      <c r="I45" s="79"/>
      <c r="J45" s="79"/>
      <c r="K45" s="80" t="str">
        <f t="shared" si="3"/>
        <v/>
      </c>
      <c r="L45" s="118"/>
      <c r="M45" s="119"/>
    </row>
    <row r="46" spans="2:13" ht="23.25" customHeight="1" x14ac:dyDescent="0.35">
      <c r="B46" s="113" t="s">
        <v>10</v>
      </c>
      <c r="C46" s="113"/>
      <c r="D46" s="29" t="s">
        <v>28</v>
      </c>
      <c r="E46" s="37">
        <v>15</v>
      </c>
      <c r="F46" s="73"/>
      <c r="G46" s="79"/>
      <c r="H46" s="79"/>
      <c r="I46" s="79"/>
      <c r="J46" s="79"/>
      <c r="K46" s="80" t="str">
        <f t="shared" si="3"/>
        <v/>
      </c>
      <c r="L46" s="114" t="str" cm="1">
        <f t="array" ref="L46">IF(COUNTIF(K46:K53,"Moyenne bloquée")&gt;0,"Moyenne bloquée",IF(SUM(IF(K46:K53&lt;&gt;"",E46:E53,0))=0,"",MAX(0,SUMPRODUCT(E46:E53,K46:K53)/SUM(IF(K46:K53&lt;&gt;"",E46:E53,0))-2/10*IF(P7&gt;5,P7-5,0))))</f>
        <v/>
      </c>
      <c r="M46" s="115"/>
    </row>
    <row r="47" spans="2:13" ht="23.25" customHeight="1" x14ac:dyDescent="0.35">
      <c r="B47" s="113"/>
      <c r="C47" s="113"/>
      <c r="D47" s="29" t="s">
        <v>29</v>
      </c>
      <c r="E47" s="37">
        <v>15</v>
      </c>
      <c r="F47" s="73"/>
      <c r="G47" s="79"/>
      <c r="H47" s="79"/>
      <c r="I47" s="79"/>
      <c r="J47" s="79"/>
      <c r="K47" s="80" t="str">
        <f t="shared" si="3"/>
        <v/>
      </c>
      <c r="L47" s="116"/>
      <c r="M47" s="117"/>
    </row>
    <row r="48" spans="2:13" ht="23.25" customHeight="1" x14ac:dyDescent="0.35">
      <c r="B48" s="113"/>
      <c r="C48" s="113"/>
      <c r="D48" s="29" t="s">
        <v>30</v>
      </c>
      <c r="E48" s="37">
        <v>25</v>
      </c>
      <c r="F48" s="73"/>
      <c r="G48" s="79"/>
      <c r="H48" s="79"/>
      <c r="I48" s="79"/>
      <c r="J48" s="79"/>
      <c r="K48" s="80" t="str">
        <f t="shared" si="3"/>
        <v/>
      </c>
      <c r="L48" s="116"/>
      <c r="M48" s="117"/>
    </row>
    <row r="49" spans="2:13" ht="23.25" customHeight="1" x14ac:dyDescent="0.35">
      <c r="B49" s="113"/>
      <c r="C49" s="113"/>
      <c r="D49" s="30" t="s">
        <v>38</v>
      </c>
      <c r="E49" s="47">
        <v>5</v>
      </c>
      <c r="F49" s="73"/>
      <c r="G49" s="79"/>
      <c r="H49" s="79"/>
      <c r="I49" s="79"/>
      <c r="J49" s="79"/>
      <c r="K49" s="80" t="str">
        <f t="shared" si="3"/>
        <v/>
      </c>
      <c r="L49" s="116"/>
      <c r="M49" s="117"/>
    </row>
    <row r="50" spans="2:13" ht="23.25" customHeight="1" x14ac:dyDescent="0.35">
      <c r="B50" s="113"/>
      <c r="C50" s="113"/>
      <c r="D50" s="29" t="s">
        <v>35</v>
      </c>
      <c r="E50" s="37">
        <v>10</v>
      </c>
      <c r="F50" s="73"/>
      <c r="G50" s="79"/>
      <c r="H50" s="79"/>
      <c r="I50" s="79"/>
      <c r="J50" s="79"/>
      <c r="K50" s="80" t="str">
        <f t="shared" si="3"/>
        <v/>
      </c>
      <c r="L50" s="116"/>
      <c r="M50" s="117"/>
    </row>
    <row r="51" spans="2:13" ht="23.25" customHeight="1" x14ac:dyDescent="0.35">
      <c r="B51" s="113"/>
      <c r="C51" s="113"/>
      <c r="D51" s="29" t="s">
        <v>34</v>
      </c>
      <c r="E51" s="28">
        <v>5</v>
      </c>
      <c r="F51" s="73"/>
      <c r="G51" s="79"/>
      <c r="H51" s="79"/>
      <c r="I51" s="79"/>
      <c r="J51" s="79"/>
      <c r="K51" s="80" t="str">
        <f t="shared" si="3"/>
        <v/>
      </c>
      <c r="L51" s="116"/>
      <c r="M51" s="117"/>
    </row>
    <row r="52" spans="2:13" ht="23.25" customHeight="1" x14ac:dyDescent="0.35">
      <c r="B52" s="113"/>
      <c r="C52" s="113"/>
      <c r="D52" s="29" t="s">
        <v>36</v>
      </c>
      <c r="E52" s="28">
        <v>20</v>
      </c>
      <c r="F52" s="73"/>
      <c r="G52" s="79"/>
      <c r="H52" s="79"/>
      <c r="I52" s="79"/>
      <c r="J52" s="79"/>
      <c r="K52" s="80" t="str">
        <f t="shared" si="3"/>
        <v/>
      </c>
      <c r="L52" s="116"/>
      <c r="M52" s="117"/>
    </row>
    <row r="53" spans="2:13" ht="23.25" customHeight="1" x14ac:dyDescent="0.35">
      <c r="B53" s="113"/>
      <c r="C53" s="113"/>
      <c r="D53" s="30" t="s">
        <v>39</v>
      </c>
      <c r="E53" s="28">
        <v>5</v>
      </c>
      <c r="F53" s="73"/>
      <c r="G53" s="79"/>
      <c r="H53" s="79"/>
      <c r="I53" s="79"/>
      <c r="J53" s="79"/>
      <c r="K53" s="80" t="str">
        <f t="shared" si="3"/>
        <v/>
      </c>
      <c r="L53" s="118"/>
      <c r="M53" s="119"/>
    </row>
  </sheetData>
  <mergeCells count="16">
    <mergeCell ref="L5:M5"/>
    <mergeCell ref="B5:D5"/>
    <mergeCell ref="B6:C11"/>
    <mergeCell ref="L6:M11"/>
    <mergeCell ref="L12:M16"/>
    <mergeCell ref="B12:C16"/>
    <mergeCell ref="B17:C23"/>
    <mergeCell ref="L17:M23"/>
    <mergeCell ref="B26:D26"/>
    <mergeCell ref="L26:M26"/>
    <mergeCell ref="B46:C53"/>
    <mergeCell ref="L46:M53"/>
    <mergeCell ref="B36:C45"/>
    <mergeCell ref="L36:M45"/>
    <mergeCell ref="B27:C35"/>
    <mergeCell ref="L27:M35"/>
  </mergeCells>
  <phoneticPr fontId="2" type="noConversion"/>
  <conditionalFormatting sqref="L6 L12 L17 L46 L36 L27">
    <cfRule type="containsText" dxfId="3" priority="1" operator="containsText" text="Moyenne bloquée">
      <formula>NOT(ISERROR(SEARCH("Moyenne bloquée",L6)))</formula>
    </cfRule>
    <cfRule type="cellIs" dxfId="2" priority="2" operator="greaterThanOrEqual">
      <formula>10</formula>
    </cfRule>
    <cfRule type="cellIs" dxfId="1" priority="4" operator="between">
      <formula>8</formula>
      <formula>10</formula>
    </cfRule>
    <cfRule type="cellIs" dxfId="0" priority="5" operator="lessThan">
      <formula>8</formula>
    </cfRule>
  </conditionalFormatting>
  <pageMargins left="0.7" right="0.7" top="0.75" bottom="0.75" header="0.3" footer="0.3"/>
  <pageSetup paperSize="9" orientation="portrait" verticalDpi="0" r:id="rId1"/>
  <ignoredErrors>
    <ignoredError sqref="K6:K7 K8:K16 L7:M11 L27:M53 K27:K53 M6 K18:K23 L13:M16 M12 L18:M23 M17" formulaRange="1"/>
  </ignoredErrors>
  <drawing r:id="rId2"/>
  <legacyDrawing r:id="rId3"/>
  <controls>
    <mc:AlternateContent xmlns:mc="http://schemas.openxmlformats.org/markup-compatibility/2006">
      <mc:Choice Requires="x14">
        <control shapeId="3074" r:id="rId4" name="btnRetourMenu">
          <controlPr defaultSize="0" autoLine="0" r:id="rId5">
            <anchor moveWithCells="1">
              <from>
                <xdr:col>10</xdr:col>
                <xdr:colOff>723900</xdr:colOff>
                <xdr:row>0</xdr:row>
                <xdr:rowOff>285750</xdr:rowOff>
              </from>
              <to>
                <xdr:col>12</xdr:col>
                <xdr:colOff>184150</xdr:colOff>
                <xdr:row>2</xdr:row>
                <xdr:rowOff>133350</xdr:rowOff>
              </to>
            </anchor>
          </controlPr>
        </control>
      </mc:Choice>
      <mc:Fallback>
        <control shapeId="3074" r:id="rId4" name="btnRetour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7BE15-57D6-4645-89C6-474F27D8C9DA}">
  <sheetPr codeName="Feuil5"/>
  <dimension ref="C6:F55"/>
  <sheetViews>
    <sheetView showGridLines="0" topLeftCell="B20" zoomScale="70" zoomScaleNormal="70" workbookViewId="0">
      <selection activeCell="G17" sqref="G17"/>
    </sheetView>
  </sheetViews>
  <sheetFormatPr baseColWidth="10" defaultColWidth="11.453125" defaultRowHeight="14.5" x14ac:dyDescent="0.35"/>
  <cols>
    <col min="1" max="4" width="11.453125" style="1"/>
    <col min="5" max="5" width="71.54296875" style="1" bestFit="1" customWidth="1"/>
    <col min="6" max="6" width="14.26953125" style="1" bestFit="1" customWidth="1"/>
    <col min="7" max="16384" width="11.453125" style="1"/>
  </cols>
  <sheetData>
    <row r="6" spans="3:6" ht="15" thickBot="1" x14ac:dyDescent="0.4"/>
    <row r="7" spans="3:6" ht="15" thickBot="1" x14ac:dyDescent="0.4">
      <c r="C7" s="139" t="s">
        <v>0</v>
      </c>
      <c r="D7" s="140"/>
      <c r="E7" s="110"/>
      <c r="F7" s="36" t="s">
        <v>41</v>
      </c>
    </row>
    <row r="8" spans="3:6" x14ac:dyDescent="0.35">
      <c r="C8" s="122" t="s">
        <v>2</v>
      </c>
      <c r="D8" s="122"/>
      <c r="E8" s="53" t="s">
        <v>4</v>
      </c>
      <c r="F8" s="18">
        <v>15</v>
      </c>
    </row>
    <row r="9" spans="3:6" x14ac:dyDescent="0.35">
      <c r="C9" s="122"/>
      <c r="D9" s="122"/>
      <c r="E9" s="54" t="s">
        <v>5</v>
      </c>
      <c r="F9" s="19">
        <v>20</v>
      </c>
    </row>
    <row r="10" spans="3:6" x14ac:dyDescent="0.35">
      <c r="C10" s="122"/>
      <c r="D10" s="122"/>
      <c r="E10" s="54" t="s">
        <v>3</v>
      </c>
      <c r="F10" s="19">
        <v>20</v>
      </c>
    </row>
    <row r="11" spans="3:6" x14ac:dyDescent="0.35">
      <c r="C11" s="122"/>
      <c r="D11" s="122"/>
      <c r="E11" s="54" t="s">
        <v>37</v>
      </c>
      <c r="F11" s="19">
        <v>5</v>
      </c>
    </row>
    <row r="12" spans="3:6" x14ac:dyDescent="0.35">
      <c r="C12" s="122"/>
      <c r="D12" s="122"/>
      <c r="E12" s="54" t="s">
        <v>14</v>
      </c>
      <c r="F12" s="19">
        <v>30</v>
      </c>
    </row>
    <row r="13" spans="3:6" x14ac:dyDescent="0.35">
      <c r="C13" s="122"/>
      <c r="D13" s="122"/>
      <c r="E13" s="54" t="s">
        <v>15</v>
      </c>
      <c r="F13" s="19">
        <v>10</v>
      </c>
    </row>
    <row r="14" spans="3:6" x14ac:dyDescent="0.35">
      <c r="C14" s="120" t="s">
        <v>6</v>
      </c>
      <c r="D14" s="120"/>
      <c r="E14" s="38" t="s">
        <v>7</v>
      </c>
      <c r="F14" s="39">
        <v>20</v>
      </c>
    </row>
    <row r="15" spans="3:6" x14ac:dyDescent="0.35">
      <c r="C15" s="120"/>
      <c r="D15" s="120"/>
      <c r="E15" s="38" t="s">
        <v>8</v>
      </c>
      <c r="F15" s="39">
        <v>15</v>
      </c>
    </row>
    <row r="16" spans="3:6" x14ac:dyDescent="0.35">
      <c r="C16" s="120"/>
      <c r="D16" s="120"/>
      <c r="E16" s="38" t="s">
        <v>9</v>
      </c>
      <c r="F16" s="39">
        <v>20</v>
      </c>
    </row>
    <row r="17" spans="3:6" x14ac:dyDescent="0.35">
      <c r="C17" s="120"/>
      <c r="D17" s="120"/>
      <c r="E17" s="65" t="s">
        <v>37</v>
      </c>
      <c r="F17" s="39">
        <v>5</v>
      </c>
    </row>
    <row r="18" spans="3:6" ht="29" x14ac:dyDescent="0.35">
      <c r="C18" s="120"/>
      <c r="D18" s="120"/>
      <c r="E18" s="38" t="s">
        <v>16</v>
      </c>
      <c r="F18" s="39">
        <v>40</v>
      </c>
    </row>
    <row r="19" spans="3:6" x14ac:dyDescent="0.35">
      <c r="C19" s="113" t="s">
        <v>10</v>
      </c>
      <c r="D19" s="113"/>
      <c r="E19" s="55" t="s">
        <v>11</v>
      </c>
      <c r="F19" s="37">
        <v>15</v>
      </c>
    </row>
    <row r="20" spans="3:6" x14ac:dyDescent="0.35">
      <c r="C20" s="113"/>
      <c r="D20" s="113"/>
      <c r="E20" s="55" t="s">
        <v>12</v>
      </c>
      <c r="F20" s="37">
        <v>15</v>
      </c>
    </row>
    <row r="21" spans="3:6" x14ac:dyDescent="0.35">
      <c r="C21" s="113"/>
      <c r="D21" s="113"/>
      <c r="E21" s="55" t="s">
        <v>13</v>
      </c>
      <c r="F21" s="37">
        <v>25</v>
      </c>
    </row>
    <row r="22" spans="3:6" x14ac:dyDescent="0.35">
      <c r="C22" s="113"/>
      <c r="D22" s="113"/>
      <c r="E22" s="66" t="s">
        <v>37</v>
      </c>
      <c r="F22" s="47">
        <v>5</v>
      </c>
    </row>
    <row r="23" spans="3:6" x14ac:dyDescent="0.35">
      <c r="C23" s="113"/>
      <c r="D23" s="113"/>
      <c r="E23" s="67" t="s">
        <v>17</v>
      </c>
      <c r="F23" s="37">
        <v>15</v>
      </c>
    </row>
    <row r="24" spans="3:6" x14ac:dyDescent="0.35">
      <c r="C24" s="113"/>
      <c r="D24" s="113"/>
      <c r="E24" s="67" t="s">
        <v>18</v>
      </c>
      <c r="F24" s="37">
        <v>10</v>
      </c>
    </row>
    <row r="25" spans="3:6" x14ac:dyDescent="0.35">
      <c r="C25" s="113"/>
      <c r="D25" s="113"/>
      <c r="E25" s="68" t="s">
        <v>19</v>
      </c>
      <c r="F25" s="37">
        <v>15</v>
      </c>
    </row>
    <row r="27" spans="3:6" ht="15" thickBot="1" x14ac:dyDescent="0.4"/>
    <row r="28" spans="3:6" ht="15" thickBot="1" x14ac:dyDescent="0.4">
      <c r="C28" s="108" t="s">
        <v>1</v>
      </c>
      <c r="D28" s="109"/>
      <c r="E28" s="110"/>
      <c r="F28" s="36" t="s">
        <v>41</v>
      </c>
    </row>
    <row r="29" spans="3:6" x14ac:dyDescent="0.35">
      <c r="C29" s="121" t="s">
        <v>2</v>
      </c>
      <c r="D29" s="121"/>
      <c r="E29" s="52" t="s">
        <v>23</v>
      </c>
      <c r="F29" s="18">
        <v>10</v>
      </c>
    </row>
    <row r="30" spans="3:6" x14ac:dyDescent="0.35">
      <c r="C30" s="122"/>
      <c r="D30" s="122"/>
      <c r="E30" s="41" t="s">
        <v>20</v>
      </c>
      <c r="F30" s="19">
        <v>15</v>
      </c>
    </row>
    <row r="31" spans="3:6" x14ac:dyDescent="0.35">
      <c r="C31" s="122"/>
      <c r="D31" s="122"/>
      <c r="E31" s="41" t="s">
        <v>21</v>
      </c>
      <c r="F31" s="19">
        <v>15</v>
      </c>
    </row>
    <row r="32" spans="3:6" x14ac:dyDescent="0.35">
      <c r="C32" s="122"/>
      <c r="D32" s="122"/>
      <c r="E32" s="41" t="s">
        <v>22</v>
      </c>
      <c r="F32" s="19">
        <v>15</v>
      </c>
    </row>
    <row r="33" spans="3:6" x14ac:dyDescent="0.35">
      <c r="C33" s="122"/>
      <c r="D33" s="122"/>
      <c r="E33" s="41" t="s">
        <v>38</v>
      </c>
      <c r="F33" s="42">
        <v>5</v>
      </c>
    </row>
    <row r="34" spans="3:6" x14ac:dyDescent="0.35">
      <c r="C34" s="122"/>
      <c r="D34" s="122"/>
      <c r="E34" s="41" t="s">
        <v>31</v>
      </c>
      <c r="F34" s="19">
        <v>10</v>
      </c>
    </row>
    <row r="35" spans="3:6" x14ac:dyDescent="0.35">
      <c r="C35" s="122"/>
      <c r="D35" s="122"/>
      <c r="E35" s="43" t="s">
        <v>34</v>
      </c>
      <c r="F35" s="44">
        <v>5</v>
      </c>
    </row>
    <row r="36" spans="3:6" x14ac:dyDescent="0.35">
      <c r="C36" s="122"/>
      <c r="D36" s="122"/>
      <c r="E36" s="43" t="s">
        <v>36</v>
      </c>
      <c r="F36" s="44">
        <v>20</v>
      </c>
    </row>
    <row r="37" spans="3:6" x14ac:dyDescent="0.35">
      <c r="C37" s="122"/>
      <c r="D37" s="122"/>
      <c r="E37" s="41" t="s">
        <v>39</v>
      </c>
      <c r="F37" s="44">
        <v>5</v>
      </c>
    </row>
    <row r="38" spans="3:6" x14ac:dyDescent="0.35">
      <c r="C38" s="120" t="s">
        <v>6</v>
      </c>
      <c r="D38" s="120"/>
      <c r="E38" s="49" t="s">
        <v>24</v>
      </c>
      <c r="F38" s="39">
        <v>10</v>
      </c>
    </row>
    <row r="39" spans="3:6" x14ac:dyDescent="0.35">
      <c r="C39" s="120"/>
      <c r="D39" s="120"/>
      <c r="E39" s="49" t="s">
        <v>26</v>
      </c>
      <c r="F39" s="39">
        <v>15</v>
      </c>
    </row>
    <row r="40" spans="3:6" x14ac:dyDescent="0.35">
      <c r="C40" s="120"/>
      <c r="D40" s="120"/>
      <c r="E40" s="49" t="s">
        <v>27</v>
      </c>
      <c r="F40" s="39">
        <v>15</v>
      </c>
    </row>
    <row r="41" spans="3:6" x14ac:dyDescent="0.35">
      <c r="C41" s="120"/>
      <c r="D41" s="120"/>
      <c r="E41" s="49" t="s">
        <v>25</v>
      </c>
      <c r="F41" s="39">
        <v>15</v>
      </c>
    </row>
    <row r="42" spans="3:6" x14ac:dyDescent="0.35">
      <c r="C42" s="120"/>
      <c r="D42" s="120"/>
      <c r="E42" s="50" t="s">
        <v>38</v>
      </c>
      <c r="F42" s="40">
        <v>5</v>
      </c>
    </row>
    <row r="43" spans="3:6" x14ac:dyDescent="0.35">
      <c r="C43" s="120"/>
      <c r="D43" s="120"/>
      <c r="E43" s="49" t="s">
        <v>32</v>
      </c>
      <c r="F43" s="39">
        <v>10</v>
      </c>
    </row>
    <row r="44" spans="3:6" x14ac:dyDescent="0.35">
      <c r="C44" s="120"/>
      <c r="D44" s="120"/>
      <c r="E44" s="49" t="s">
        <v>33</v>
      </c>
      <c r="F44" s="39">
        <v>10</v>
      </c>
    </row>
    <row r="45" spans="3:6" x14ac:dyDescent="0.35">
      <c r="C45" s="120"/>
      <c r="D45" s="120"/>
      <c r="E45" s="49" t="s">
        <v>34</v>
      </c>
      <c r="F45" s="51">
        <v>5</v>
      </c>
    </row>
    <row r="46" spans="3:6" x14ac:dyDescent="0.35">
      <c r="C46" s="120"/>
      <c r="D46" s="120"/>
      <c r="E46" s="49" t="s">
        <v>36</v>
      </c>
      <c r="F46" s="51">
        <v>20</v>
      </c>
    </row>
    <row r="47" spans="3:6" x14ac:dyDescent="0.35">
      <c r="C47" s="120"/>
      <c r="D47" s="120"/>
      <c r="E47" s="50" t="s">
        <v>39</v>
      </c>
      <c r="F47" s="51">
        <v>5</v>
      </c>
    </row>
    <row r="48" spans="3:6" x14ac:dyDescent="0.35">
      <c r="C48" s="113" t="s">
        <v>10</v>
      </c>
      <c r="D48" s="113"/>
      <c r="E48" s="45" t="s">
        <v>28</v>
      </c>
      <c r="F48" s="37">
        <v>15</v>
      </c>
    </row>
    <row r="49" spans="3:6" x14ac:dyDescent="0.35">
      <c r="C49" s="113"/>
      <c r="D49" s="113"/>
      <c r="E49" s="45" t="s">
        <v>29</v>
      </c>
      <c r="F49" s="37">
        <v>15</v>
      </c>
    </row>
    <row r="50" spans="3:6" x14ac:dyDescent="0.35">
      <c r="C50" s="113"/>
      <c r="D50" s="113"/>
      <c r="E50" s="45" t="s">
        <v>30</v>
      </c>
      <c r="F50" s="37">
        <v>25</v>
      </c>
    </row>
    <row r="51" spans="3:6" x14ac:dyDescent="0.35">
      <c r="C51" s="113"/>
      <c r="D51" s="113"/>
      <c r="E51" s="46" t="s">
        <v>38</v>
      </c>
      <c r="F51" s="47">
        <v>5</v>
      </c>
    </row>
    <row r="52" spans="3:6" x14ac:dyDescent="0.35">
      <c r="C52" s="113"/>
      <c r="D52" s="113"/>
      <c r="E52" s="45" t="s">
        <v>35</v>
      </c>
      <c r="F52" s="37">
        <v>10</v>
      </c>
    </row>
    <row r="53" spans="3:6" x14ac:dyDescent="0.35">
      <c r="C53" s="113"/>
      <c r="D53" s="113"/>
      <c r="E53" s="45" t="s">
        <v>34</v>
      </c>
      <c r="F53" s="48">
        <v>5</v>
      </c>
    </row>
    <row r="54" spans="3:6" x14ac:dyDescent="0.35">
      <c r="C54" s="113"/>
      <c r="D54" s="113"/>
      <c r="E54" s="45" t="s">
        <v>36</v>
      </c>
      <c r="F54" s="48">
        <v>20</v>
      </c>
    </row>
    <row r="55" spans="3:6" x14ac:dyDescent="0.35">
      <c r="C55" s="113"/>
      <c r="D55" s="113"/>
      <c r="E55" s="46" t="s">
        <v>39</v>
      </c>
      <c r="F55" s="48">
        <v>5</v>
      </c>
    </row>
  </sheetData>
  <mergeCells count="8">
    <mergeCell ref="C48:D55"/>
    <mergeCell ref="C7:E7"/>
    <mergeCell ref="C8:D13"/>
    <mergeCell ref="C14:D18"/>
    <mergeCell ref="C19:D25"/>
    <mergeCell ref="C28:E28"/>
    <mergeCell ref="C29:D37"/>
    <mergeCell ref="C38:D4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btnRetourMenu">
          <controlPr defaultSize="0" autoLine="0" r:id="rId4">
            <anchor moveWithCells="1">
              <from>
                <xdr:col>11</xdr:col>
                <xdr:colOff>590550</xdr:colOff>
                <xdr:row>1</xdr:row>
                <xdr:rowOff>76200</xdr:rowOff>
              </from>
              <to>
                <xdr:col>13</xdr:col>
                <xdr:colOff>527050</xdr:colOff>
                <xdr:row>3</xdr:row>
                <xdr:rowOff>139700</xdr:rowOff>
              </to>
            </anchor>
          </controlPr>
        </control>
      </mc:Choice>
      <mc:Fallback>
        <control shapeId="4098" r:id="rId3" name="btnRetourMenu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8" ma:contentTypeDescription="Crée un document." ma:contentTypeScope="" ma:versionID="7064489fcf543519d85e7bc625cb2f47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152ece6b01ea46a227696f6ab7f9d956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630A7F3-B3AA-4329-8DDB-BD3AD1330D54}">
  <ds:schemaRefs>
    <ds:schemaRef ds:uri="http://purl.org/dc/elements/1.1/"/>
    <ds:schemaRef ds:uri="976320d1-acf9-470b-91fd-984afe3f64f8"/>
    <ds:schemaRef ds:uri="http://schemas.microsoft.com/office/infopath/2007/PartnerControls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b1ed24f2-a78f-4e52-8aa3-2bfee2962d64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AEFA47F-2F02-4821-B9FA-1149BF9DEA5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Menu</vt:lpstr>
      <vt:lpstr>Tableau de bord</vt:lpstr>
      <vt:lpstr>Mon année</vt:lpstr>
      <vt:lpstr>Notes</vt:lpstr>
      <vt:lpstr>Consignes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MAE CLEMENT</cp:lastModifiedBy>
  <cp:revision/>
  <dcterms:created xsi:type="dcterms:W3CDTF">2021-04-11T08:18:39Z</dcterms:created>
  <dcterms:modified xsi:type="dcterms:W3CDTF">2026-04-17T12:52:22Z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